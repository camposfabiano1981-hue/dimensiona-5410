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QM" state="visible" r:id="rId4"/>
    <sheet sheetId="2" name="QC QD-1" state="visible" r:id="rId5"/>
    <sheet sheetId="3" name="Circuitos" state="visible" r:id="rId6"/>
    <sheet sheetId="4" name="Eletrodutos" state="visible" r:id="rId7"/>
    <sheet sheetId="5" name="Eletrocalhas" state="visible" r:id="rId8"/>
    <sheet sheetId="6" name="Luminotécnico" state="visible" r:id="rId9"/>
    <sheet sheetId="7" name="Iluminação externa" state="visible" r:id="rId10"/>
    <sheet sheetId="8" name="Demanda Energisa" state="visible" r:id="rId11"/>
    <sheet sheetId="9" name="Cargas Energisa" state="visible" r:id="rId12"/>
    <sheet sheetId="10" name="Carga térmica" state="visible" r:id="rId13"/>
    <sheet sheetId="11" name="Perfil horário" state="visible" r:id="rId14"/>
    <sheet sheetId="12" name="Lista de materiais" state="visible" r:id="rId15"/>
  </sheets>
  <calcPr calcId="171027" fullCalcOnLoad="1"/>
</workbook>
</file>

<file path=xl/sharedStrings.xml><?xml version="1.0" encoding="utf-8"?>
<sst xmlns="http://schemas.openxmlformats.org/spreadsheetml/2006/main" count="1272" uniqueCount="479">
  <si>
    <t>Quadro de cargas — QM — Quadro de medição (ponto de entrega)</t>
  </si>
  <si>
    <t>Obra: Residência unifamiliar — exemplo — Proprietário (exemplo)</t>
  </si>
  <si>
    <t>Sistema: 127/220 V, trifásico, esquema TN-S · Responsável: Nome do responsável técnico — CREA/CFT nº 000000 · R00 · 28/10/2026</t>
  </si>
  <si>
    <t>Circ.</t>
  </si>
  <si>
    <t>Descrição</t>
  </si>
  <si>
    <t>Tipo</t>
  </si>
  <si>
    <t>Ligação</t>
  </si>
  <si>
    <t>Fases</t>
  </si>
  <si>
    <t>P (W)</t>
  </si>
  <si>
    <t>FP</t>
  </si>
  <si>
    <t>S (VA)</t>
  </si>
  <si>
    <t>IB (A)</t>
  </si>
  <si>
    <t>FCT</t>
  </si>
  <si>
    <t>FCA</t>
  </si>
  <si>
    <t>F / N / PE (mm²)</t>
  </si>
  <si>
    <t>Proteção</t>
  </si>
  <si>
    <t>DR</t>
  </si>
  <si>
    <t>ΔV acum. (%)</t>
  </si>
  <si>
    <t>Fase A (VA)</t>
  </si>
  <si>
    <t>Fase B (VA)</t>
  </si>
  <si>
    <t>Fase C (VA)</t>
  </si>
  <si>
    <t>Situação</t>
  </si>
  <si>
    <t>AL-1</t>
  </si>
  <si>
    <t>Alimentador do QD-1</t>
  </si>
  <si>
    <t>Distribuição (alimentador de quadro)</t>
  </si>
  <si>
    <t>F+F+F+N+PE</t>
  </si>
  <si>
    <t>A-B-C</t>
  </si>
  <si>
    <t>16 / 16 / 16</t>
  </si>
  <si>
    <t>C63</t>
  </si>
  <si>
    <t>—</t>
  </si>
  <si>
    <t>Atende</t>
  </si>
  <si>
    <t>Total</t>
  </si>
  <si>
    <t>Demanda do quadro</t>
  </si>
  <si>
    <t>Carga instalada — circuitos terminais (VA)</t>
  </si>
  <si>
    <t>Demanda dos quadros a jusante (VA)</t>
  </si>
  <si>
    <t>Fator de demanda (editável)</t>
  </si>
  <si>
    <t>Demanda informada, kVA (opcional — substitui o fator)</t>
  </si>
  <si>
    <t>Demanda (VA)</t>
  </si>
  <si>
    <t>Corrente de demanda (A) — trifásico</t>
  </si>
  <si>
    <t>Desequilíbrio entre fases (Smáx − Smín) / Smáx</t>
  </si>
  <si>
    <t>Células em amarelo podem ser editadas; as fórmulas de demanda e corrente recalculam. O dimensionamento dos condutores do alimentador deve ser refeito no Dimensiona 5410 se a demanda mudar.</t>
  </si>
  <si>
    <t>Quadro de cargas — QD-1 — Quadro de distribuição de circuitos</t>
  </si>
  <si>
    <t>1</t>
  </si>
  <si>
    <t>Iluminação — sala, circulação e quartos</t>
  </si>
  <si>
    <t>Iluminação</t>
  </si>
  <si>
    <t>F+N+PE</t>
  </si>
  <si>
    <t>A</t>
  </si>
  <si>
    <t>1,5 / 1,5 / 1,5</t>
  </si>
  <si>
    <t>C10</t>
  </si>
  <si>
    <t>2</t>
  </si>
  <si>
    <t>Iluminação — cozinha, área de serviço e banheiros</t>
  </si>
  <si>
    <t>B</t>
  </si>
  <si>
    <t>25 A / 30 mA</t>
  </si>
  <si>
    <t>3</t>
  </si>
  <si>
    <t>TUG — sala e quartos</t>
  </si>
  <si>
    <t>Tomadas de uso geral (TUG)</t>
  </si>
  <si>
    <t>C</t>
  </si>
  <si>
    <t>2,5 / 2,5 / 2,5</t>
  </si>
  <si>
    <t>C16</t>
  </si>
  <si>
    <t>4</t>
  </si>
  <si>
    <t>TUG — cozinha</t>
  </si>
  <si>
    <t>4 / 4 / 4</t>
  </si>
  <si>
    <t>5</t>
  </si>
  <si>
    <t>TUG — área de serviço</t>
  </si>
  <si>
    <t>6</t>
  </si>
  <si>
    <t>TUE — chuveiro do banheiro social</t>
  </si>
  <si>
    <t>Tomada / ponto de uso específico (TUE)</t>
  </si>
  <si>
    <t>F+F+PE</t>
  </si>
  <si>
    <t>A-B</t>
  </si>
  <si>
    <t>4 / — / 4</t>
  </si>
  <si>
    <t>C25</t>
  </si>
  <si>
    <t>7</t>
  </si>
  <si>
    <t>TUE — chuveiro da suíte</t>
  </si>
  <si>
    <t>B-C</t>
  </si>
  <si>
    <t>10 / — / 10</t>
  </si>
  <si>
    <t>C40</t>
  </si>
  <si>
    <t>40 A / 30 mA</t>
  </si>
  <si>
    <t>8</t>
  </si>
  <si>
    <t>TUE — ar-condicionado 12.000 BTU/h</t>
  </si>
  <si>
    <t>C-A</t>
  </si>
  <si>
    <t>2,5 / — / 2,5</t>
  </si>
  <si>
    <t>9</t>
  </si>
  <si>
    <t>TUE — forno elétrico</t>
  </si>
  <si>
    <t>10</t>
  </si>
  <si>
    <t>Motor — bomba d’água 1/2 cv</t>
  </si>
  <si>
    <t>Motor</t>
  </si>
  <si>
    <t>11</t>
  </si>
  <si>
    <t>Iluminação — garagem (perfilado)</t>
  </si>
  <si>
    <t>12</t>
  </si>
  <si>
    <t>TUG — garagem (perfilado)</t>
  </si>
  <si>
    <t>13</t>
  </si>
  <si>
    <t>Iluminação externa — estacionamento</t>
  </si>
  <si>
    <t>Alimentado pelo circuito AL-1 (quadro QM)</t>
  </si>
  <si>
    <t>Fase 16 · Neutro 16 · PE 16 mm² — Disjuntor 3P C63 — 6,0 kA</t>
  </si>
  <si>
    <t>Circuitos — dimensionamento (ABNT NBR 5410)</t>
  </si>
  <si>
    <t>Quadro</t>
  </si>
  <si>
    <t>U (V)</t>
  </si>
  <si>
    <t>L (m)</t>
  </si>
  <si>
    <t>Condutor</t>
  </si>
  <si>
    <t>Maneira de instalar</t>
  </si>
  <si>
    <t>Fator total</t>
  </si>
  <si>
    <t>Iz (A)</t>
  </si>
  <si>
    <t>ΔV circ. (%)</t>
  </si>
  <si>
    <t>Conduto</t>
  </si>
  <si>
    <t>Pendências e observações</t>
  </si>
  <si>
    <t>QD-1</t>
  </si>
  <si>
    <t>condutor isolado 450/750 V, cobre, isolação PVC 70 °C (ABNT NBR NM 247-3)</t>
  </si>
  <si>
    <t>7 / B1</t>
  </si>
  <si>
    <t>Disjuntor 1P C10 — 6,0 kA</t>
  </si>
  <si>
    <t>PVC rígido roscável DN 25 (3/4")</t>
  </si>
  <si>
    <t/>
  </si>
  <si>
    <t>IDR 2P 25 A / 30 mA</t>
  </si>
  <si>
    <t>PVC rígido roscável DN 32 (1")</t>
  </si>
  <si>
    <t>Disjuntor 1P C16 — 6,0 kA</t>
  </si>
  <si>
    <t>Disjuntor 2P C25 — 6,0 kA</t>
  </si>
  <si>
    <t>Disjuntor 2P C40 — 6,0 kA</t>
  </si>
  <si>
    <t>IDR 2P 40 A / 30 mA</t>
  </si>
  <si>
    <t>Disjuntor 2P C10 — 6,0 kA</t>
  </si>
  <si>
    <t>cabo unipolar 0,6/1 kV, cobre, isolação PVC 70 °C (ABNT NBR 7288)</t>
  </si>
  <si>
    <t>61A / D</t>
  </si>
  <si>
    <t>35 / B1</t>
  </si>
  <si>
    <t>Perfilado com tampa 38×38 mm</t>
  </si>
  <si>
    <t>PVC rígido roscável DN 20 (1/2")</t>
  </si>
  <si>
    <t>QM</t>
  </si>
  <si>
    <t>Disjuntor 3P C63 — 6,0 kA</t>
  </si>
  <si>
    <t>PVC rígido roscável DN 40 (1 1/4")</t>
  </si>
  <si>
    <t>Eletrodutos — ocupação (6.2.11.1)</t>
  </si>
  <si>
    <t>Trecho</t>
  </si>
  <si>
    <t>Circuitos</t>
  </si>
  <si>
    <t>Condutores</t>
  </si>
  <si>
    <t>ΣA (mm²)</t>
  </si>
  <si>
    <t>Taxa máx.</t>
  </si>
  <si>
    <t>Di mín. (mm)</t>
  </si>
  <si>
    <t>Eletroduto adotado</t>
  </si>
  <si>
    <t>Di (mm)</t>
  </si>
  <si>
    <t>Ocupação</t>
  </si>
  <si>
    <t>Entre caixas (m)</t>
  </si>
  <si>
    <t>Curvas</t>
  </si>
  <si>
    <t>Observações</t>
  </si>
  <si>
    <t>Trecho E1</t>
  </si>
  <si>
    <t>1, 3, 8</t>
  </si>
  <si>
    <t>Trecho E2</t>
  </si>
  <si>
    <t>2, 4, 5, 9</t>
  </si>
  <si>
    <t>Trecho E3</t>
  </si>
  <si>
    <t>6, 7</t>
  </si>
  <si>
    <t>Exclusivo — circuito 10</t>
  </si>
  <si>
    <t>Exclusivo — circuito 13</t>
  </si>
  <si>
    <t>Exclusivo — circuito AL-1</t>
  </si>
  <si>
    <t>Eletrocalhas, perfilados, bandejas e leitos</t>
  </si>
  <si>
    <t>Cabos</t>
  </si>
  <si>
    <t>Σd (mm)</t>
  </si>
  <si>
    <t>Reserva</t>
  </si>
  <si>
    <t>Larg. mín. (mm)</t>
  </si>
  <si>
    <t>Adotada L × H (mm)</t>
  </si>
  <si>
    <t>Com reserva</t>
  </si>
  <si>
    <t>Peso (kg/m)</t>
  </si>
  <si>
    <t>Carga adm. (kg/m)</t>
  </si>
  <si>
    <t>Vão (m)</t>
  </si>
  <si>
    <t>Suportes</t>
  </si>
  <si>
    <t>Trecho P1</t>
  </si>
  <si>
    <t>Perfilado com tampa</t>
  </si>
  <si>
    <t>11, 12</t>
  </si>
  <si>
    <t>38 × 38</t>
  </si>
  <si>
    <t>Eletrocalhas e leitos metálicos devem ser contínuos eletricamente e ligados à equipotencialização (6.4).</t>
  </si>
  <si>
    <t>Cálculo luminotécnico — método dos lúmens (ABNT NBR ISO/CIE 8995-1)</t>
  </si>
  <si>
    <t>Ambiente</t>
  </si>
  <si>
    <t>Atividade (NBR ISO/CIE 8995-1)</t>
  </si>
  <si>
    <t>Área (m²)</t>
  </si>
  <si>
    <t>Em (lx)</t>
  </si>
  <si>
    <t>UGRL</t>
  </si>
  <si>
    <t>Ra mín.</t>
  </si>
  <si>
    <t>Luminária</t>
  </si>
  <si>
    <t>P lum. (W)</t>
  </si>
  <si>
    <t>Fluxo (lm)</t>
  </si>
  <si>
    <t>K</t>
  </si>
  <si>
    <t>UF</t>
  </si>
  <si>
    <t>FM</t>
  </si>
  <si>
    <t>N calc.</t>
  </si>
  <si>
    <t>N</t>
  </si>
  <si>
    <t>Arranjo</t>
  </si>
  <si>
    <t>Eméd (lx)</t>
  </si>
  <si>
    <t>Emín (lx)</t>
  </si>
  <si>
    <t>Uo</t>
  </si>
  <si>
    <t>P total (W)</t>
  </si>
  <si>
    <t>W/m²</t>
  </si>
  <si>
    <t>Circuito</t>
  </si>
  <si>
    <t>Sala de estar</t>
  </si>
  <si>
    <t>Sala de estar — geral</t>
  </si>
  <si>
    <t>Ledvance — Plafon LED slim quadrado 18 W 4000 K</t>
  </si>
  <si>
    <t>2 × 2</t>
  </si>
  <si>
    <t>Quarto 1</t>
  </si>
  <si>
    <t>Quarto — geral</t>
  </si>
  <si>
    <t>Philips — Plafon LED de sobrepor redondo 18 W 4000 K</t>
  </si>
  <si>
    <t>Cozinha</t>
  </si>
  <si>
    <t>Cozinha — bancada, pia e fogão (local)</t>
  </si>
  <si>
    <t>Ledvance — Downlight LED de embutir 12 W</t>
  </si>
  <si>
    <t>4 × 2</t>
  </si>
  <si>
    <t>Escritório (home office)</t>
  </si>
  <si>
    <t>Escrever, teclar, ler e processar dados</t>
  </si>
  <si>
    <t>Lumicenter — EF40-E — downlight 17,5 W (EF40-E12000840)</t>
  </si>
  <si>
    <t>3 × 2</t>
  </si>
  <si>
    <t>Atende, com observações</t>
  </si>
  <si>
    <t>Confirmar na ficha fotométrica do fabricante que o UGR da instalação não ultrapassa UGRL = 19.</t>
  </si>
  <si>
    <t>Iluminação de exteriores — método dos lúmens e ponto a ponto (NBR 5101 / EN 12464-2)</t>
  </si>
  <si>
    <t>Área</t>
  </si>
  <si>
    <t>Requisito</t>
  </si>
  <si>
    <t>W (m)</t>
  </si>
  <si>
    <t>Eméd exig. (lx)</t>
  </si>
  <si>
    <t>U0 exig.</t>
  </si>
  <si>
    <t>Projetor</t>
  </si>
  <si>
    <t>Facho (°)</t>
  </si>
  <si>
    <t>Postes</t>
  </si>
  <si>
    <t>h (m)</t>
  </si>
  <si>
    <t>Incl. (°)</t>
  </si>
  <si>
    <t>Fu</t>
  </si>
  <si>
    <t>Fd</t>
  </si>
  <si>
    <t>Eméd pp (lx)</t>
  </si>
  <si>
    <t>U0</t>
  </si>
  <si>
    <t>Estacionamento externo</t>
  </si>
  <si>
    <t>Estacionamento de tráfego médio (escritórios, shoppings)</t>
  </si>
  <si>
    <t>Refletor LED 50 W</t>
  </si>
  <si>
    <t>Postes nos dois lados (frente a frente)</t>
  </si>
  <si>
    <t>Demanda — Energisa Mato Grosso do Sul · Unidade consumidora individual (NDU 001) · 220/127 V — rede trifásica (Tabela 16)</t>
  </si>
  <si>
    <t>UC</t>
  </si>
  <si>
    <t>Titular</t>
  </si>
  <si>
    <t>CPF / CNPJ</t>
  </si>
  <si>
    <t>Nº instalação</t>
  </si>
  <si>
    <t>Unidade</t>
  </si>
  <si>
    <t>Classe</t>
  </si>
  <si>
    <t>Atividade (Tab. 5)</t>
  </si>
  <si>
    <t>C (kW)</t>
  </si>
  <si>
    <t>d1 (kW)</t>
  </si>
  <si>
    <t>d2 (kW)</t>
  </si>
  <si>
    <t>d3 (kW)</t>
  </si>
  <si>
    <t>d4 (kW)</t>
  </si>
  <si>
    <t>d5 (kW)</t>
  </si>
  <si>
    <t>d6 (kW)</t>
  </si>
  <si>
    <t>d7 (kW)</t>
  </si>
  <si>
    <t>d (kW)</t>
  </si>
  <si>
    <t>D (kVA)</t>
  </si>
  <si>
    <t>Categoria</t>
  </si>
  <si>
    <t>Disjuntor (A)</t>
  </si>
  <si>
    <t>Ramal de conexão</t>
  </si>
  <si>
    <t>Ramal de entrada</t>
  </si>
  <si>
    <t>Aterramento</t>
  </si>
  <si>
    <t>Eletroduto</t>
  </si>
  <si>
    <t>Caixa</t>
  </si>
  <si>
    <t>UC 01</t>
  </si>
  <si>
    <t>Proprietário (exemplo)</t>
  </si>
  <si>
    <t>000.000.000-00</t>
  </si>
  <si>
    <t>nova</t>
  </si>
  <si>
    <t>Residência unifamiliar</t>
  </si>
  <si>
    <t>Residencial</t>
  </si>
  <si>
    <t>Residência</t>
  </si>
  <si>
    <t>T</t>
  </si>
  <si>
    <t>T3</t>
  </si>
  <si>
    <t>70</t>
  </si>
  <si>
    <t>multiplexado de alumínio XLPE, fases 25 mm² e neutro nu CAL 25 mm²</t>
  </si>
  <si>
    <t>cobre 0,6/1 kV, isolação XLPE/HEPR/EPR 90 °C, embutido: fase 16 mm² e neutro 16 mm²</t>
  </si>
  <si>
    <t>Cu 16 mm² + 3 haste(s)</t>
  </si>
  <si>
    <t>1 1/4"</t>
  </si>
  <si>
    <t>CMI-02</t>
  </si>
  <si>
    <t>Cálculo conforme Energisa NDU 001 — versão 7.0, novembro/2024 (vigência 01/11/2024). D (kVA) = d (kW) / 0,92.</t>
  </si>
  <si>
    <t>Relação de cargas instaladas por unidade consumidora (NDU 001)</t>
  </si>
  <si>
    <t>Parcela</t>
  </si>
  <si>
    <t>Grupo de carga</t>
  </si>
  <si>
    <t>Qtd.</t>
  </si>
  <si>
    <t>Unitário</t>
  </si>
  <si>
    <t>kW unitário</t>
  </si>
  <si>
    <t>Total (kW)</t>
  </si>
  <si>
    <t>d1</t>
  </si>
  <si>
    <t>Iluminação, tomadas e pequenos aparelhos (d1 — Tab. 5)</t>
  </si>
  <si>
    <t>Iluminação (circuitos 1, 2 e 11)</t>
  </si>
  <si>
    <t>1.490 W</t>
  </si>
  <si>
    <t>Tomadas de uso geral (circuitos 3, 4, 5 e 12)</t>
  </si>
  <si>
    <t>4.080 W</t>
  </si>
  <si>
    <t>d2</t>
  </si>
  <si>
    <t>Aquecimento de água: chuveiro, torneira, aquecedor (d2 — Tab. 6)</t>
  </si>
  <si>
    <t>Chuveiro elétrico 220 V — banheiro social (circ. 6)</t>
  </si>
  <si>
    <t>5.500 W</t>
  </si>
  <si>
    <t>Chuveiro elétrico 220 V — suíte (circ. 7)</t>
  </si>
  <si>
    <t>7.500 W</t>
  </si>
  <si>
    <t>d5</t>
  </si>
  <si>
    <t>Ar-condicionado janela/split (d5 — Tab. 9, 10 e 11)</t>
  </si>
  <si>
    <t>Ar-condicionado split 12.000 BTU/h (circ. 8)</t>
  </si>
  <si>
    <t>12.000 BTU/h split</t>
  </si>
  <si>
    <t>d4</t>
  </si>
  <si>
    <t>Fogões e fornos elétricos (d4 — Tab. 8)</t>
  </si>
  <si>
    <t>Forno elétrico (circ. 9)</t>
  </si>
  <si>
    <t>1.800 W</t>
  </si>
  <si>
    <t>d3</t>
  </si>
  <si>
    <t>Secadora, lava-louças, micro-ondas, hidromassagem (d3 — Tab. 7)</t>
  </si>
  <si>
    <t>Forno de micro-ondas 25 L</t>
  </si>
  <si>
    <t>1.398 W</t>
  </si>
  <si>
    <t>d6</t>
  </si>
  <si>
    <t>Motor monofásico (d6 — Tab. 12)</t>
  </si>
  <si>
    <t>Bomba d’água 1/2 cv (circ. 10)</t>
  </si>
  <si>
    <t>1/2 cv</t>
  </si>
  <si>
    <t>Carga térmica — NBR 16401-1:2024 · Campo Grande/MS · TBS 34,0 °C / TBU 24,0 °C · interno 24,0 °C, 50 %</t>
  </si>
  <si>
    <t>Ocupantes</t>
  </si>
  <si>
    <t>Sensível (W)</t>
  </si>
  <si>
    <t>Latente (W)</t>
  </si>
  <si>
    <t>Total (W)</t>
  </si>
  <si>
    <t>FCS</t>
  </si>
  <si>
    <t>Hora do pico</t>
  </si>
  <si>
    <t>Margem</t>
  </si>
  <si>
    <t>BTU/h (c/ margem)</t>
  </si>
  <si>
    <t>TR</t>
  </si>
  <si>
    <t>Ar exterior (L/s)</t>
  </si>
  <si>
    <t>Equipamento indicado</t>
  </si>
  <si>
    <t>Potência elétrica (W)</t>
  </si>
  <si>
    <t>Suíte</t>
  </si>
  <si>
    <t>9000 BTU/h</t>
  </si>
  <si>
    <t>12000 BTU/h</t>
  </si>
  <si>
    <t>Total (soma dos picos)</t>
  </si>
  <si>
    <t>Perfil horário da carga térmica — dia 21 de janeiro</t>
  </si>
  <si>
    <t>Hora solar</t>
  </si>
  <si>
    <t>Temperatura externa (°C)</t>
  </si>
  <si>
    <t>Suíte (W)</t>
  </si>
  <si>
    <t>Sala de estar (W)</t>
  </si>
  <si>
    <t>Escritório (home office) (W)</t>
  </si>
  <si>
    <t>Simultânea (W)</t>
  </si>
  <si>
    <t>Lista de materiais</t>
  </si>
  <si>
    <t>Item</t>
  </si>
  <si>
    <t>Descrição / especificação</t>
  </si>
  <si>
    <t>Norma de fabricação</t>
  </si>
  <si>
    <t>Fabricante / ref.</t>
  </si>
  <si>
    <t>Unid.</t>
  </si>
  <si>
    <t>Origem</t>
  </si>
  <si>
    <t>Padrão de entrada</t>
  </si>
  <si>
    <t>Caixa de medição CMI-02 — padrão Energisa (NDU 001), categoria T3</t>
  </si>
  <si>
    <t>Energisa NDU 001</t>
  </si>
  <si>
    <t>un</t>
  </si>
  <si>
    <t>Disjuntor termomagnético geral 3P 70 A — proteção do padrão de entrada</t>
  </si>
  <si>
    <t>ABNT NBR NM 60898 / NBR IEC 60947-2</t>
  </si>
  <si>
    <t>Ramal de entrada: cobre 0,6/1 kV, isolação XLPE/HEPR/EPR 90 °C, embutido: fase 16 mm² e neutro 16 mm²</t>
  </si>
  <si>
    <t>vb</t>
  </si>
  <si>
    <t>Eletroduto do ramal de entrada 1 1/4"</t>
  </si>
  <si>
    <t>Condutores e cabos</t>
  </si>
  <si>
    <t>Condutor isolado 450/750 V, cobre classe 5, PVC 70 °C — 1,5 mm², cor preto (fase)</t>
  </si>
  <si>
    <t>ABNT NBR NM 247-3</t>
  </si>
  <si>
    <t>m</t>
  </si>
  <si>
    <t>1, 11</t>
  </si>
  <si>
    <t>Condutor isolado 450/750 V, cobre classe 5, PVC 70 °C — 1,5 mm², cor vermelho (fase)</t>
  </si>
  <si>
    <t>Condutor isolado 450/750 V, cobre classe 5, PVC 70 °C — 1,5 mm², cor azul-claro (neutro)</t>
  </si>
  <si>
    <t>1, 2, 11</t>
  </si>
  <si>
    <t>Condutor isolado 450/750 V, cobre classe 5, PVC 70 °C — 1,5 mm², cor verde-amarelo (proteção)</t>
  </si>
  <si>
    <t>Condutor isolado 450/750 V, cobre classe 5, PVC 70 °C — 2,5 mm², cor preto (fase)</t>
  </si>
  <si>
    <t>Condutor isolado 450/750 V, cobre classe 5, PVC 70 °C — 2,5 mm², cor vermelho (fase)</t>
  </si>
  <si>
    <t>Condutor isolado 450/750 V, cobre classe 5, PVC 70 °C — 2,5 mm², cor branco (fase)</t>
  </si>
  <si>
    <t>3, 8</t>
  </si>
  <si>
    <t>Condutor isolado 450/750 V, cobre classe 5, PVC 70 °C — 2,5 mm², cor azul-claro (neutro)</t>
  </si>
  <si>
    <t>3, 12</t>
  </si>
  <si>
    <t>Condutor isolado 450/750 V, cobre classe 5, PVC 70 °C — 2,5 mm², cor verde-amarelo (proteção)</t>
  </si>
  <si>
    <t>3, 8, 12</t>
  </si>
  <si>
    <t>Condutor isolado 450/750 V, cobre classe 5, PVC 70 °C — 4 mm², cor preto (fase)</t>
  </si>
  <si>
    <t>4, 6</t>
  </si>
  <si>
    <t>Condutor isolado 450/750 V, cobre classe 5, PVC 70 °C — 4 mm², cor vermelho (fase)</t>
  </si>
  <si>
    <t>5, 6</t>
  </si>
  <si>
    <t>Condutor isolado 450/750 V, cobre classe 5, PVC 70 °C — 4 mm², cor branco (fase)</t>
  </si>
  <si>
    <t>Condutor isolado 450/750 V, cobre classe 5, PVC 70 °C — 4 mm², cor azul-claro (neutro)</t>
  </si>
  <si>
    <t>4, 5, 9</t>
  </si>
  <si>
    <t>Condutor isolado 450/750 V, cobre classe 5, PVC 70 °C — 4 mm², cor verde-amarelo (proteção)</t>
  </si>
  <si>
    <t>4, 5, 6, 9</t>
  </si>
  <si>
    <t>Condutor isolado 450/750 V, cobre classe 5, PVC 70 °C — 10 mm², cor vermelho (fase)</t>
  </si>
  <si>
    <t>Condutor isolado 450/750 V, cobre classe 5, PVC 70 °C — 10 mm², cor branco (fase)</t>
  </si>
  <si>
    <t>Condutor isolado 450/750 V, cobre classe 5, PVC 70 °C — 10 mm², cor verde-amarelo (proteção)</t>
  </si>
  <si>
    <t>Cabo unipolar 0,6/1 kV, cobre classe 5, PVC 70 °C — 1,5 mm², cor branco (fase)</t>
  </si>
  <si>
    <t>ABNT NBR 7288</t>
  </si>
  <si>
    <t>Cabo unipolar 0,6/1 kV, cobre classe 5, PVC 70 °C — 1,5 mm², cor azul-claro (neutro)</t>
  </si>
  <si>
    <t>Cabo unipolar 0,6/1 kV, cobre classe 5, PVC 70 °C — 1,5 mm², cor verde-amarelo (proteção)</t>
  </si>
  <si>
    <t>Cabo unipolar 0,6/1 kV, cobre classe 5, PVC 70 °C — 2,5 mm², cor preto (fase)</t>
  </si>
  <si>
    <t>Cabo unipolar 0,6/1 kV, cobre classe 5, PVC 70 °C — 2,5 mm², cor branco (fase)</t>
  </si>
  <si>
    <t>Cabo unipolar 0,6/1 kV, cobre classe 5, PVC 70 °C — 2,5 mm², cor verde-amarelo (proteção)</t>
  </si>
  <si>
    <t>Cabo unipolar 0,6/1 kV, cobre classe 5, PVC 70 °C — 16 mm², cor preto (fase)</t>
  </si>
  <si>
    <t>Cabo unipolar 0,6/1 kV, cobre classe 5, PVC 70 °C — 16 mm², cor vermelho (fase)</t>
  </si>
  <si>
    <t>Cabo unipolar 0,6/1 kV, cobre classe 5, PVC 70 °C — 16 mm², cor branco (fase)</t>
  </si>
  <si>
    <t>Cabo unipolar 0,6/1 kV, cobre classe 5, PVC 70 °C — 16 mm², cor azul-claro (neutro)</t>
  </si>
  <si>
    <t>Cabo unipolar 0,6/1 kV, cobre classe 5, PVC 70 °C — 16 mm², cor verde-amarelo (proteção)</t>
  </si>
  <si>
    <t>Dispositivos de proteção</t>
  </si>
  <si>
    <t>Conjunto de DPS classe I+II 4+0 — Uc 275 V, Iimp 12,5 kA (10/350 µs), In 30 kA, Up ≤ 1,5 kV — ref. CLAMPER Front V 275 V 12,5/60 kA 4+0 (cód. 026979) ou equivalente</t>
  </si>
  <si>
    <t>ABNT NBR IEC 61643-11</t>
  </si>
  <si>
    <t>cj</t>
  </si>
  <si>
    <t>Condutor de cobre 16 mm² para ligação dos DPS (fases e PE)</t>
  </si>
  <si>
    <t>DPS classe II unipolar — Uc 175 V, In 20 kA, Imáx 40 kA (8/20 µs), Up ≤ 1,2 kV</t>
  </si>
  <si>
    <t>Condutor de cobre 10 mm² para ligação dos DPS (fases e PE)</t>
  </si>
  <si>
    <t>DPS classe III junto ao equipamento sensível — Uc 175 V</t>
  </si>
  <si>
    <t>equipamentos sensíveis</t>
  </si>
  <si>
    <t>Disjuntor termomagnético 1P curva C 10 A — 6,0 kA</t>
  </si>
  <si>
    <t>ABNT NBR NM 60898</t>
  </si>
  <si>
    <t>1, 2, 11, 12, 13</t>
  </si>
  <si>
    <t>Disjuntor termomagnético 1P curva C 16 A — 6,0 kA</t>
  </si>
  <si>
    <t>3, 4, 5, 9</t>
  </si>
  <si>
    <t>Disjuntor termomagnético 2P curva C 10 A — 6,0 kA</t>
  </si>
  <si>
    <t>8, 10</t>
  </si>
  <si>
    <t>Disjuntor termomagnético 2P curva C 25 A — 6,0 kA</t>
  </si>
  <si>
    <t>Disjuntor termomagnético 2P curva C 40 A — 6,0 kA</t>
  </si>
  <si>
    <t>Disjuntor termomagnético 3P curva C 63 A — 6,0 kA</t>
  </si>
  <si>
    <t>Interruptor diferencial-residual (IDR) 2P 25 A — 30 mA</t>
  </si>
  <si>
    <t>ABNT NBR NM 61008</t>
  </si>
  <si>
    <t>2, 4, 5, 6, 9, 10, 11, 12, 13</t>
  </si>
  <si>
    <t>Interruptor diferencial-residual (IDR) 2P 40 A — 30 mA</t>
  </si>
  <si>
    <t>DPS classe II — 275 V, In 20 kA, Imáx 40 kA</t>
  </si>
  <si>
    <t>cadastro</t>
  </si>
  <si>
    <t>Quadros de distribuição</t>
  </si>
  <si>
    <t>Quadro de distribuição QD-1 (Quadro de distribuição de circuitos) — 48 módulos DIN, com barramentos de fase, neutro e proteção; 13 circuitos + reserva para 4 circuitos (Tabela 59)</t>
  </si>
  <si>
    <t>ABNT NBR IEC 61439-3</t>
  </si>
  <si>
    <t>Barramento de neutro com bornes</t>
  </si>
  <si>
    <t>Barramento de proteção (terra) com bornes</t>
  </si>
  <si>
    <t>Eletrodutos, eletrocalhas e acessórios</t>
  </si>
  <si>
    <t>Eletroduto PVC rígido roscável DN 25 (3/4")</t>
  </si>
  <si>
    <t>ABNT NBR 15465</t>
  </si>
  <si>
    <t>E1, E3, circ. 10</t>
  </si>
  <si>
    <t>Eletroduto PVC rígido roscável DN 32 (1")</t>
  </si>
  <si>
    <t>E2</t>
  </si>
  <si>
    <t>Eletroduto PVC rígido roscável DN 20 (1/2")</t>
  </si>
  <si>
    <t>circ. 13</t>
  </si>
  <si>
    <t>Eletroduto PVC rígido roscável DN 40 (1 1/4")</t>
  </si>
  <si>
    <t>circ. AL-1</t>
  </si>
  <si>
    <t>Perfilado com tampa 38 × 38 mm, com tampa, emendas e acessórios</t>
  </si>
  <si>
    <t>ABNT NBR IEC 61537</t>
  </si>
  <si>
    <t>P1</t>
  </si>
  <si>
    <t>Suporte / suspensão para perfilado com tampa 38 mm</t>
  </si>
  <si>
    <t>Caixas</t>
  </si>
  <si>
    <t>Caixa de embutir 4×2" em PVC</t>
  </si>
  <si>
    <t>ABNT NBR IEC 60670-1</t>
  </si>
  <si>
    <t>Caixa octogonal 4×4" com fundo móvel (laje)</t>
  </si>
  <si>
    <t>Tomadas, interruptores e dispositivos de comando</t>
  </si>
  <si>
    <t>Tomada 2P+T 10 A — 250 V com placa 4×2"</t>
  </si>
  <si>
    <t>ABNT NBR 14136; NBR NM 60884-1</t>
  </si>
  <si>
    <t>Tomada 2P+T 20 A — 250 V com placa 4×2"</t>
  </si>
  <si>
    <t>Interruptor simples 10 A com placa 4×2"</t>
  </si>
  <si>
    <t>ABNT NBR NM 60669-1</t>
  </si>
  <si>
    <t>Interruptor paralelo (three-way) 10 A com placa 4×2"</t>
  </si>
  <si>
    <t>Saída de fio com placa 4×2" (ponto de força, chuveiro)</t>
  </si>
  <si>
    <t>Luminária Ledvance Plafon LED slim quadrado 18 W 4000 K</t>
  </si>
  <si>
    <t>ABNT NBR IEC 60598-1</t>
  </si>
  <si>
    <t>Luminária Philips Plafon LED de sobrepor redondo 18 W 4000 K</t>
  </si>
  <si>
    <t>Luminária Ledvance Downlight LED de embutir 12 W</t>
  </si>
  <si>
    <t>Luminária Lumicenter EF40-E — downlight 17,5 W (EF40-E12000840)</t>
  </si>
  <si>
    <t>Refletor LED 50 W — 5.000 lm, facho 120°, IP65 mín., com braço/suporte</t>
  </si>
  <si>
    <t>ABNT NBR IEC 60598-1 / IEC 60598-2-5</t>
  </si>
  <si>
    <t>Poste de aço galvanizado a fogo, altura útil 7,0 m, com base, chumbadores e caixa de passagem</t>
  </si>
  <si>
    <t>ABNT NBR 14744</t>
  </si>
  <si>
    <t>Relé fotoelétrico (ou temporizador) para comando da iluminação externa</t>
  </si>
  <si>
    <t>ABNT NBR 5123</t>
  </si>
  <si>
    <t>SPDA — proteção contra descargas atmosféricas</t>
  </si>
  <si>
    <t>Barra chata ou cabo de alumínio 70 mm² — captação (malha e perímetro da cobertura)</t>
  </si>
  <si>
    <t>ABNT NBR 5419-3</t>
  </si>
  <si>
    <t>SPDA</t>
  </si>
  <si>
    <t>Barra chata ou cabo de alumínio 70 mm² — descidas</t>
  </si>
  <si>
    <t>Cabo de cobre nu 50 mm² (7 ou 19 fios) — anel de aterramento a 0,5 m de profundidade e 1,0 m das paredes</t>
  </si>
  <si>
    <t>ABNT NBR 5419-3; NBR 6524</t>
  </si>
  <si>
    <t>Suporte isolador ou fixador para condutor da captação (a cada 1 m)</t>
  </si>
  <si>
    <t>Fixador para condutor de descida (a cada 1 m até 20 m e 0,5 m acima)</t>
  </si>
  <si>
    <t>Conector de cruzamento e emenda da malha de captação</t>
  </si>
  <si>
    <t>Conector de medição (desconexão para ensaio) em cada descida</t>
  </si>
  <si>
    <t>Eletroduto de PVC rígido para proteção mecânica da descida junto ao solo (2,5 m por descida)</t>
  </si>
  <si>
    <t>Caixa de inspeção do aterramento (ligação descida/anel)</t>
  </si>
  <si>
    <t>Conexão por solda exotérmica ou conector de compressão (descida/anel e eletrodos)</t>
  </si>
  <si>
    <t>ABNT NBR 16254</t>
  </si>
  <si>
    <t>Ligação do anel de aterramento ao barramento de equipotencialização principal (BEP)</t>
  </si>
  <si>
    <t>ABNT NBR 5419-3; NBR 5410</t>
  </si>
  <si>
    <t>Aterramento e equipotencialização</t>
  </si>
  <si>
    <t>Haste de aterramento aço-cobreada (NBR 13571) — 3/4" × 2,40 m</t>
  </si>
  <si>
    <t>ABNT NBR 13571</t>
  </si>
  <si>
    <t>Padrão de entrada — categoria T3 (NDU 001)</t>
  </si>
  <si>
    <t>Conector cabo–haste (cunha, grampo ou solda exotérmica)</t>
  </si>
  <si>
    <t>Caixa de inspeção de aterramento com tampa</t>
  </si>
  <si>
    <t>Cabo de cobre nu 16 mm² — interligação das hastes (enterrado a 0,50 m)</t>
  </si>
  <si>
    <t>Condutor de aterramento 16 mm² — da primeira haste ao quadro / BEP</t>
  </si>
  <si>
    <t>Eletroduto de proteção do condutor de aterramento</t>
  </si>
  <si>
    <t>Barramento de equipotencialização principal (BEP) em cobre</t>
  </si>
  <si>
    <t>ABNT NBR 5410 (6.4.2)</t>
  </si>
  <si>
    <t>Materiais diversos</t>
  </si>
  <si>
    <t>Conector de emenda/derivação por alavanca (2 a 5 vias)</t>
  </si>
  <si>
    <t>Fita isolante de PVC 19 mm × 20 m</t>
  </si>
  <si>
    <t>rolo</t>
  </si>
  <si>
    <t>Anilhas/etiquetas de identificação de circuitos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</si>
</sst>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%"/>
    <numFmt numFmtId="166" formatCode="0.000"/>
    <numFmt numFmtId="167" formatCode="#,##0.##"/>
  </numFmts>
  <fonts count="7" x14ac:knownFonts="1">
    <font>
      <color theme="1"/>
      <family val="2"/>
      <scheme val="minor"/>
      <sz val="11"/>
      <name val="Calibri"/>
    </font>
    <font>
      <b/>
      <color rgb="FF0B5A70"/>
      <sz val="14"/>
    </font>
    <font>
      <color rgb="FF56606A"/>
      <sz val="10"/>
    </font>
    <font>
      <b/>
      <sz val="10"/>
    </font>
    <font>
      <sz val="10"/>
    </font>
    <font>
      <b/>
      <color rgb="FF0B5A70"/>
      <sz val="12"/>
    </font>
    <font>
      <i/>
      <color rgb="FF56606A"/>
      <sz val="9"/>
    </font>
  </fonts>
  <fills count="4">
    <fill>
      <patternFill patternType="none"/>
    </fill>
    <fill>
      <patternFill patternType="gray125"/>
    </fill>
    <fill>
      <patternFill patternType="solid">
        <fgColor rgb="FFE7EDF1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 style="thin">
        <color rgb="FFB9C3CB"/>
      </left>
      <right style="thin">
        <color rgb="FFB9C3CB"/>
      </right>
      <top style="thin">
        <color rgb="FFB9C3CB"/>
      </top>
      <bottom style="thin">
        <color rgb="FFB9C3C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0" fontId="3" fillId="2" borderId="1" xfId="0" applyFont="1" applyFill="1" applyBorder="1"/>
    <xf numFmtId="3" fontId="3" fillId="2" borderId="1" xfId="0" applyNumberFormat="1" applyFont="1" applyFill="1" applyBorder="1"/>
    <xf numFmtId="0" fontId="5" fillId="0" borderId="0" xfId="0" applyFont="1"/>
    <xf numFmtId="0" fontId="3" fillId="0" borderId="0" xfId="0" applyFont="1"/>
    <xf numFmtId="3" fontId="3" fillId="0" borderId="1" xfId="0" applyNumberFormat="1" applyFont="1" applyBorder="1"/>
    <xf numFmtId="0" fontId="4" fillId="0" borderId="0" xfId="0" applyFont="1"/>
    <xf numFmtId="9" fontId="3" fillId="3" borderId="1" xfId="0" applyNumberFormat="1" applyFont="1" applyFill="1" applyBorder="1"/>
    <xf numFmtId="2" fontId="3" fillId="3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6" fillId="0" borderId="0" xfId="0" applyFont="1" applyAlignment="1">
      <alignment wrapText="1"/>
    </xf>
    <xf numFmtId="49" fontId="3" fillId="0" borderId="1" xfId="0" applyNumberFormat="1" applyFont="1" applyBorder="1"/>
    <xf numFmtId="1" fontId="4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9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2" fontId="3" fillId="2" borderId="1" xfId="0" applyNumberFormat="1" applyFont="1" applyFill="1" applyBorder="1"/>
    <xf numFmtId="1" fontId="3" fillId="2" borderId="1" xfId="0" applyNumberFormat="1" applyFont="1" applyFill="1" applyBorder="1"/>
    <xf numFmtId="0" fontId="6" fillId="0" borderId="0" xfId="0" applyFont="1"/>
    <xf numFmtId="167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18" customWidth="1"/>
    <col min="4" max="4" width="13" customWidth="1"/>
    <col min="5" max="5" width="7" customWidth="1"/>
    <col min="6" max="6" width="10" customWidth="1"/>
    <col min="7" max="7" width="6" customWidth="1"/>
    <col min="8" max="8" width="10" customWidth="1"/>
    <col min="9" max="9" width="8" customWidth="1"/>
    <col min="10" max="11" width="6" customWidth="1"/>
    <col min="12" max="12" width="15" customWidth="1"/>
    <col min="13" max="13" width="11" customWidth="1"/>
    <col min="14" max="14" width="14" customWidth="1"/>
    <col min="16" max="18" width="11" customWidth="1"/>
    <col min="19" max="19" width="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ht="30" customHeight="1" spans="1:19" x14ac:dyDescent="0.25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spans="1:19" x14ac:dyDescent="0.25">
      <c r="A6" s="5" t="s">
        <v>22</v>
      </c>
      <c r="B6" s="6" t="s">
        <v>23</v>
      </c>
      <c r="C6" s="6" t="s">
        <v>24</v>
      </c>
      <c r="D6" s="5" t="s">
        <v>25</v>
      </c>
      <c r="E6" s="5" t="s">
        <v>26</v>
      </c>
      <c r="F6" s="7">
        <v>22395.76</v>
      </c>
      <c r="G6" s="8">
        <v>0.94</v>
      </c>
      <c r="H6" s="7">
        <v>23831.67</v>
      </c>
      <c r="I6" s="8">
        <v>62.54</v>
      </c>
      <c r="J6" s="8">
        <v>1</v>
      </c>
      <c r="K6" s="8">
        <v>1</v>
      </c>
      <c r="L6" s="5" t="s">
        <v>27</v>
      </c>
      <c r="M6" s="5" t="s">
        <v>28</v>
      </c>
      <c r="N6" s="5" t="s">
        <v>29</v>
      </c>
      <c r="O6" s="8">
        <v>0.83</v>
      </c>
      <c r="P6" s="7">
        <v>7943.89</v>
      </c>
      <c r="Q6" s="7">
        <v>7943.89</v>
      </c>
      <c r="R6" s="7">
        <v>7943.89</v>
      </c>
      <c r="S6" s="5" t="s">
        <v>30</v>
      </c>
    </row>
    <row r="7" spans="1:19" x14ac:dyDescent="0.25">
      <c r="A7" s="9" t="s">
        <v>31</v>
      </c>
      <c r="B7" s="9"/>
      <c r="C7" s="9"/>
      <c r="D7" s="9"/>
      <c r="E7" s="9"/>
      <c r="F7" s="10">
        <f>SUM(F6:F6)</f>
        <v>22395.76</v>
      </c>
      <c r="G7" s="9"/>
      <c r="H7" s="10">
        <f>SUM(H6:H6)</f>
        <v>23831.67</v>
      </c>
      <c r="I7" s="9"/>
      <c r="J7" s="9"/>
      <c r="K7" s="9"/>
      <c r="L7" s="9"/>
      <c r="M7" s="9"/>
      <c r="N7" s="9"/>
      <c r="O7" s="9"/>
      <c r="P7" s="10">
        <f>SUM(P6:P6)</f>
        <v>7943.89</v>
      </c>
      <c r="Q7" s="10">
        <f>SUM(Q6:Q6)</f>
        <v>7943.89</v>
      </c>
      <c r="R7" s="10">
        <f>SUM(R6:R6)</f>
        <v>7943.89</v>
      </c>
      <c r="S7" s="9"/>
    </row>
    <row r="9" spans="1:1" x14ac:dyDescent="0.25">
      <c r="A9" s="11" t="s">
        <v>32</v>
      </c>
    </row>
    <row r="10" spans="1:6" x14ac:dyDescent="0.25">
      <c r="A10" s="12" t="s">
        <v>33</v>
      </c>
      <c r="B10" s="12"/>
      <c r="C10" s="12"/>
      <c r="D10" s="12"/>
      <c r="E10" s="13">
        <f>SUMIF(C6:C6,"&lt;&gt;Distribuição (alimentador de quadro)",H6:H6)</f>
        <v>0</v>
      </c>
      <c r="F10" s="13"/>
    </row>
    <row r="11" spans="1:6" x14ac:dyDescent="0.25">
      <c r="A11" s="12" t="s">
        <v>34</v>
      </c>
      <c r="B11" s="12"/>
      <c r="C11" s="12"/>
      <c r="D11" s="12"/>
      <c r="E11" s="13">
        <f>SUMIF(C6:C6,"Distribuição (alimentador de quadro)",H6:H6)</f>
        <v>23831.67</v>
      </c>
      <c r="F11" s="13"/>
    </row>
    <row r="12" spans="1:6" x14ac:dyDescent="0.25">
      <c r="A12" s="14" t="s">
        <v>35</v>
      </c>
      <c r="B12" s="14"/>
      <c r="C12" s="14"/>
      <c r="D12" s="14"/>
      <c r="E12" s="15">
        <v>1</v>
      </c>
      <c r="F12" s="15"/>
    </row>
    <row r="13" spans="1:6" x14ac:dyDescent="0.25">
      <c r="A13" s="14" t="s">
        <v>36</v>
      </c>
      <c r="B13" s="14"/>
      <c r="C13" s="14"/>
      <c r="D13" s="14"/>
      <c r="E13" s="16"/>
      <c r="F13" s="16"/>
    </row>
    <row r="14" spans="1:6" x14ac:dyDescent="0.25">
      <c r="A14" s="12" t="s">
        <v>37</v>
      </c>
      <c r="B14" s="12"/>
      <c r="C14" s="12"/>
      <c r="D14" s="12"/>
      <c r="E14" s="13">
        <f>IF(N(E13)&gt;0,E13*1000,E12*E10+E11)</f>
        <v>23831.67</v>
      </c>
      <c r="F14" s="13"/>
    </row>
    <row r="15" spans="1:6" x14ac:dyDescent="0.25">
      <c r="A15" s="12" t="s">
        <v>38</v>
      </c>
      <c r="B15" s="12"/>
      <c r="C15" s="12"/>
      <c r="D15" s="12"/>
      <c r="E15" s="17">
        <f>E14/(SQRT(3)*220)</f>
        <v>62.54</v>
      </c>
      <c r="F15" s="17"/>
    </row>
    <row r="16" spans="1:6" x14ac:dyDescent="0.25">
      <c r="A16" s="12" t="s">
        <v>39</v>
      </c>
      <c r="B16" s="12"/>
      <c r="C16" s="12"/>
      <c r="D16" s="12"/>
      <c r="E16" s="18">
        <f>IF(MAX(P7,Q7,R7)&gt;0,(MAX(P7,Q7,R7)-MIN(P7,Q7,R7))/MAX(P7,Q7,R7),0)</f>
        <v>0</v>
      </c>
      <c r="F16" s="18"/>
    </row>
    <row r="18" ht="26" customHeight="1" spans="1:19" x14ac:dyDescent="0.25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</sheetData>
  <autoFilter ref="A5:S6"/>
  <mergeCells count="18">
    <mergeCell ref="A1:S1"/>
    <mergeCell ref="A2:S2"/>
    <mergeCell ref="A3:S3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8:S1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18" customWidth="1"/>
    <col min="4" max="4" width="13" customWidth="1"/>
    <col min="5" max="5" width="7" customWidth="1"/>
    <col min="6" max="6" width="10" customWidth="1"/>
    <col min="7" max="7" width="6" customWidth="1"/>
    <col min="8" max="8" width="10" customWidth="1"/>
    <col min="9" max="9" width="8" customWidth="1"/>
    <col min="10" max="11" width="6" customWidth="1"/>
    <col min="12" max="12" width="15" customWidth="1"/>
    <col min="13" max="13" width="11" customWidth="1"/>
    <col min="14" max="14" width="14" customWidth="1"/>
    <col min="16" max="18" width="11" customWidth="1"/>
    <col min="19" max="19" width="14" customWidth="1"/>
  </cols>
  <sheetData>
    <row r="1" spans="1:19" x14ac:dyDescent="0.2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ht="30" customHeight="1" spans="1:19" x14ac:dyDescent="0.25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spans="1:19" x14ac:dyDescent="0.25">
      <c r="A6" s="5" t="s">
        <v>42</v>
      </c>
      <c r="B6" s="6" t="s">
        <v>43</v>
      </c>
      <c r="C6" s="6" t="s">
        <v>44</v>
      </c>
      <c r="D6" s="5" t="s">
        <v>45</v>
      </c>
      <c r="E6" s="5" t="s">
        <v>46</v>
      </c>
      <c r="F6" s="7">
        <v>717.6</v>
      </c>
      <c r="G6" s="8">
        <v>0.92</v>
      </c>
      <c r="H6" s="7">
        <v>780</v>
      </c>
      <c r="I6" s="8">
        <v>6.14</v>
      </c>
      <c r="J6" s="8">
        <v>1</v>
      </c>
      <c r="K6" s="8">
        <v>0.7</v>
      </c>
      <c r="L6" s="5" t="s">
        <v>47</v>
      </c>
      <c r="M6" s="5" t="s">
        <v>48</v>
      </c>
      <c r="N6" s="5" t="s">
        <v>29</v>
      </c>
      <c r="O6" s="8">
        <v>4.24</v>
      </c>
      <c r="P6" s="7">
        <v>780</v>
      </c>
      <c r="Q6" s="7"/>
      <c r="R6" s="7"/>
      <c r="S6" s="5" t="s">
        <v>30</v>
      </c>
    </row>
    <row r="7" spans="1:19" x14ac:dyDescent="0.25">
      <c r="A7" s="5" t="s">
        <v>49</v>
      </c>
      <c r="B7" s="6" t="s">
        <v>50</v>
      </c>
      <c r="C7" s="6" t="s">
        <v>44</v>
      </c>
      <c r="D7" s="5" t="s">
        <v>45</v>
      </c>
      <c r="E7" s="5" t="s">
        <v>51</v>
      </c>
      <c r="F7" s="7">
        <v>496.8</v>
      </c>
      <c r="G7" s="8">
        <v>0.92</v>
      </c>
      <c r="H7" s="7">
        <v>540</v>
      </c>
      <c r="I7" s="8">
        <v>4.25</v>
      </c>
      <c r="J7" s="8">
        <v>1</v>
      </c>
      <c r="K7" s="8">
        <v>0.65</v>
      </c>
      <c r="L7" s="5" t="s">
        <v>47</v>
      </c>
      <c r="M7" s="5" t="s">
        <v>48</v>
      </c>
      <c r="N7" s="5" t="s">
        <v>52</v>
      </c>
      <c r="O7" s="8">
        <v>2.6</v>
      </c>
      <c r="P7" s="7"/>
      <c r="Q7" s="7">
        <v>540</v>
      </c>
      <c r="R7" s="7"/>
      <c r="S7" s="5" t="s">
        <v>30</v>
      </c>
    </row>
    <row r="8" spans="1:19" x14ac:dyDescent="0.25">
      <c r="A8" s="5" t="s">
        <v>53</v>
      </c>
      <c r="B8" s="6" t="s">
        <v>54</v>
      </c>
      <c r="C8" s="6" t="s">
        <v>55</v>
      </c>
      <c r="D8" s="5" t="s">
        <v>45</v>
      </c>
      <c r="E8" s="5" t="s">
        <v>56</v>
      </c>
      <c r="F8" s="7">
        <v>1040</v>
      </c>
      <c r="G8" s="8">
        <v>0.8</v>
      </c>
      <c r="H8" s="7">
        <v>1300</v>
      </c>
      <c r="I8" s="8">
        <v>10.24</v>
      </c>
      <c r="J8" s="8">
        <v>1</v>
      </c>
      <c r="K8" s="8">
        <v>0.7</v>
      </c>
      <c r="L8" s="5" t="s">
        <v>57</v>
      </c>
      <c r="M8" s="5" t="s">
        <v>58</v>
      </c>
      <c r="N8" s="5" t="s">
        <v>29</v>
      </c>
      <c r="O8" s="8">
        <v>3.56</v>
      </c>
      <c r="P8" s="7"/>
      <c r="Q8" s="7"/>
      <c r="R8" s="7">
        <v>1300</v>
      </c>
      <c r="S8" s="5" t="s">
        <v>30</v>
      </c>
    </row>
    <row r="9" spans="1:19" x14ac:dyDescent="0.25">
      <c r="A9" s="5" t="s">
        <v>59</v>
      </c>
      <c r="B9" s="6" t="s">
        <v>60</v>
      </c>
      <c r="C9" s="6" t="s">
        <v>55</v>
      </c>
      <c r="D9" s="5" t="s">
        <v>45</v>
      </c>
      <c r="E9" s="5" t="s">
        <v>46</v>
      </c>
      <c r="F9" s="7">
        <v>1520</v>
      </c>
      <c r="G9" s="8">
        <v>0.8</v>
      </c>
      <c r="H9" s="7">
        <v>1900</v>
      </c>
      <c r="I9" s="8">
        <v>14.96</v>
      </c>
      <c r="J9" s="8">
        <v>1</v>
      </c>
      <c r="K9" s="8">
        <v>0.65</v>
      </c>
      <c r="L9" s="5" t="s">
        <v>61</v>
      </c>
      <c r="M9" s="5" t="s">
        <v>58</v>
      </c>
      <c r="N9" s="5" t="s">
        <v>52</v>
      </c>
      <c r="O9" s="8">
        <v>2.41</v>
      </c>
      <c r="P9" s="7">
        <v>1900</v>
      </c>
      <c r="Q9" s="7"/>
      <c r="R9" s="7"/>
      <c r="S9" s="5" t="s">
        <v>30</v>
      </c>
    </row>
    <row r="10" spans="1:19" x14ac:dyDescent="0.25">
      <c r="A10" s="5" t="s">
        <v>62</v>
      </c>
      <c r="B10" s="6" t="s">
        <v>63</v>
      </c>
      <c r="C10" s="6" t="s">
        <v>55</v>
      </c>
      <c r="D10" s="5" t="s">
        <v>45</v>
      </c>
      <c r="E10" s="5" t="s">
        <v>51</v>
      </c>
      <c r="F10" s="7">
        <v>1040</v>
      </c>
      <c r="G10" s="8">
        <v>0.8</v>
      </c>
      <c r="H10" s="7">
        <v>1300</v>
      </c>
      <c r="I10" s="8">
        <v>10.24</v>
      </c>
      <c r="J10" s="8">
        <v>1</v>
      </c>
      <c r="K10" s="8">
        <v>0.65</v>
      </c>
      <c r="L10" s="5" t="s">
        <v>61</v>
      </c>
      <c r="M10" s="5" t="s">
        <v>58</v>
      </c>
      <c r="N10" s="5" t="s">
        <v>52</v>
      </c>
      <c r="O10" s="8">
        <v>2.15</v>
      </c>
      <c r="P10" s="7"/>
      <c r="Q10" s="7">
        <v>1300</v>
      </c>
      <c r="R10" s="7"/>
      <c r="S10" s="5" t="s">
        <v>30</v>
      </c>
    </row>
    <row r="11" spans="1:19" x14ac:dyDescent="0.25">
      <c r="A11" s="5" t="s">
        <v>64</v>
      </c>
      <c r="B11" s="6" t="s">
        <v>65</v>
      </c>
      <c r="C11" s="6" t="s">
        <v>66</v>
      </c>
      <c r="D11" s="5" t="s">
        <v>67</v>
      </c>
      <c r="E11" s="5" t="s">
        <v>68</v>
      </c>
      <c r="F11" s="7">
        <v>5500</v>
      </c>
      <c r="G11" s="8">
        <v>1</v>
      </c>
      <c r="H11" s="7">
        <v>5500</v>
      </c>
      <c r="I11" s="8">
        <v>25</v>
      </c>
      <c r="J11" s="8">
        <v>1</v>
      </c>
      <c r="K11" s="8">
        <v>0.8</v>
      </c>
      <c r="L11" s="5" t="s">
        <v>69</v>
      </c>
      <c r="M11" s="5" t="s">
        <v>70</v>
      </c>
      <c r="N11" s="5" t="s">
        <v>52</v>
      </c>
      <c r="O11" s="8">
        <v>2.85</v>
      </c>
      <c r="P11" s="7">
        <v>2750</v>
      </c>
      <c r="Q11" s="7">
        <v>2750</v>
      </c>
      <c r="R11" s="7"/>
      <c r="S11" s="5" t="s">
        <v>30</v>
      </c>
    </row>
    <row r="12" spans="1:19" x14ac:dyDescent="0.25">
      <c r="A12" s="5" t="s">
        <v>71</v>
      </c>
      <c r="B12" s="6" t="s">
        <v>72</v>
      </c>
      <c r="C12" s="6" t="s">
        <v>66</v>
      </c>
      <c r="D12" s="5" t="s">
        <v>67</v>
      </c>
      <c r="E12" s="5" t="s">
        <v>73</v>
      </c>
      <c r="F12" s="7">
        <v>7500</v>
      </c>
      <c r="G12" s="8">
        <v>1</v>
      </c>
      <c r="H12" s="7">
        <v>7500</v>
      </c>
      <c r="I12" s="8">
        <v>34.09</v>
      </c>
      <c r="J12" s="8">
        <v>1</v>
      </c>
      <c r="K12" s="8">
        <v>0.8</v>
      </c>
      <c r="L12" s="5" t="s">
        <v>74</v>
      </c>
      <c r="M12" s="5" t="s">
        <v>75</v>
      </c>
      <c r="N12" s="5" t="s">
        <v>76</v>
      </c>
      <c r="O12" s="8">
        <v>2.32</v>
      </c>
      <c r="P12" s="7"/>
      <c r="Q12" s="7">
        <v>3750</v>
      </c>
      <c r="R12" s="7">
        <v>3750</v>
      </c>
      <c r="S12" s="5" t="s">
        <v>30</v>
      </c>
    </row>
    <row r="13" spans="1:19" x14ac:dyDescent="0.25">
      <c r="A13" s="5" t="s">
        <v>77</v>
      </c>
      <c r="B13" s="6" t="s">
        <v>78</v>
      </c>
      <c r="C13" s="6" t="s">
        <v>66</v>
      </c>
      <c r="D13" s="5" t="s">
        <v>67</v>
      </c>
      <c r="E13" s="5" t="s">
        <v>79</v>
      </c>
      <c r="F13" s="7">
        <v>1300</v>
      </c>
      <c r="G13" s="8">
        <v>0.9</v>
      </c>
      <c r="H13" s="7">
        <v>1444.44</v>
      </c>
      <c r="I13" s="8">
        <v>6.57</v>
      </c>
      <c r="J13" s="8">
        <v>1</v>
      </c>
      <c r="K13" s="8">
        <v>0.7</v>
      </c>
      <c r="L13" s="5" t="s">
        <v>80</v>
      </c>
      <c r="M13" s="5" t="s">
        <v>48</v>
      </c>
      <c r="N13" s="5" t="s">
        <v>29</v>
      </c>
      <c r="O13" s="8">
        <v>1.81</v>
      </c>
      <c r="P13" s="7">
        <v>722.22</v>
      </c>
      <c r="Q13" s="7"/>
      <c r="R13" s="7">
        <v>722.22</v>
      </c>
      <c r="S13" s="5" t="s">
        <v>30</v>
      </c>
    </row>
    <row r="14" spans="1:19" x14ac:dyDescent="0.25">
      <c r="A14" s="5" t="s">
        <v>81</v>
      </c>
      <c r="B14" s="6" t="s">
        <v>82</v>
      </c>
      <c r="C14" s="6" t="s">
        <v>66</v>
      </c>
      <c r="D14" s="5" t="s">
        <v>45</v>
      </c>
      <c r="E14" s="5" t="s">
        <v>56</v>
      </c>
      <c r="F14" s="7">
        <v>1800</v>
      </c>
      <c r="G14" s="8">
        <v>1</v>
      </c>
      <c r="H14" s="7">
        <v>1800</v>
      </c>
      <c r="I14" s="8">
        <v>14.17</v>
      </c>
      <c r="J14" s="8">
        <v>1</v>
      </c>
      <c r="K14" s="8">
        <v>0.65</v>
      </c>
      <c r="L14" s="5" t="s">
        <v>61</v>
      </c>
      <c r="M14" s="5" t="s">
        <v>58</v>
      </c>
      <c r="N14" s="5" t="s">
        <v>52</v>
      </c>
      <c r="O14" s="8">
        <v>2.42</v>
      </c>
      <c r="P14" s="7"/>
      <c r="Q14" s="7"/>
      <c r="R14" s="7">
        <v>1800</v>
      </c>
      <c r="S14" s="5" t="s">
        <v>30</v>
      </c>
    </row>
    <row r="15" spans="1:19" x14ac:dyDescent="0.25">
      <c r="A15" s="5" t="s">
        <v>83</v>
      </c>
      <c r="B15" s="6" t="s">
        <v>84</v>
      </c>
      <c r="C15" s="6" t="s">
        <v>85</v>
      </c>
      <c r="D15" s="5" t="s">
        <v>67</v>
      </c>
      <c r="E15" s="5" t="s">
        <v>79</v>
      </c>
      <c r="F15" s="7">
        <v>525.36</v>
      </c>
      <c r="G15" s="8">
        <v>0.8</v>
      </c>
      <c r="H15" s="7">
        <v>656.7</v>
      </c>
      <c r="I15" s="8">
        <v>3.43</v>
      </c>
      <c r="J15" s="8">
        <v>1</v>
      </c>
      <c r="K15" s="8">
        <v>1</v>
      </c>
      <c r="L15" s="5" t="s">
        <v>80</v>
      </c>
      <c r="M15" s="5" t="s">
        <v>48</v>
      </c>
      <c r="N15" s="5" t="s">
        <v>52</v>
      </c>
      <c r="O15" s="8">
        <v>1.5</v>
      </c>
      <c r="P15" s="7">
        <v>328.35</v>
      </c>
      <c r="Q15" s="7"/>
      <c r="R15" s="7">
        <v>328.35</v>
      </c>
      <c r="S15" s="5" t="s">
        <v>30</v>
      </c>
    </row>
    <row r="16" spans="1:19" x14ac:dyDescent="0.25">
      <c r="A16" s="5" t="s">
        <v>86</v>
      </c>
      <c r="B16" s="6" t="s">
        <v>87</v>
      </c>
      <c r="C16" s="6" t="s">
        <v>44</v>
      </c>
      <c r="D16" s="5" t="s">
        <v>45</v>
      </c>
      <c r="E16" s="5" t="s">
        <v>46</v>
      </c>
      <c r="F16" s="7">
        <v>276</v>
      </c>
      <c r="G16" s="8">
        <v>0.92</v>
      </c>
      <c r="H16" s="7">
        <v>300</v>
      </c>
      <c r="I16" s="8">
        <v>2.36</v>
      </c>
      <c r="J16" s="8">
        <v>1</v>
      </c>
      <c r="K16" s="8">
        <v>0.8</v>
      </c>
      <c r="L16" s="5" t="s">
        <v>47</v>
      </c>
      <c r="M16" s="5" t="s">
        <v>48</v>
      </c>
      <c r="N16" s="5" t="s">
        <v>52</v>
      </c>
      <c r="O16" s="8">
        <v>1.92</v>
      </c>
      <c r="P16" s="7">
        <v>300</v>
      </c>
      <c r="Q16" s="7"/>
      <c r="R16" s="7"/>
      <c r="S16" s="5" t="s">
        <v>30</v>
      </c>
    </row>
    <row r="17" spans="1:19" x14ac:dyDescent="0.25">
      <c r="A17" s="5" t="s">
        <v>88</v>
      </c>
      <c r="B17" s="6" t="s">
        <v>89</v>
      </c>
      <c r="C17" s="6" t="s">
        <v>55</v>
      </c>
      <c r="D17" s="5" t="s">
        <v>45</v>
      </c>
      <c r="E17" s="5" t="s">
        <v>51</v>
      </c>
      <c r="F17" s="7">
        <v>480</v>
      </c>
      <c r="G17" s="8">
        <v>0.8</v>
      </c>
      <c r="H17" s="7">
        <v>600</v>
      </c>
      <c r="I17" s="8">
        <v>4.72</v>
      </c>
      <c r="J17" s="8">
        <v>1</v>
      </c>
      <c r="K17" s="8">
        <v>0.8</v>
      </c>
      <c r="L17" s="5" t="s">
        <v>57</v>
      </c>
      <c r="M17" s="5" t="s">
        <v>48</v>
      </c>
      <c r="N17" s="5" t="s">
        <v>52</v>
      </c>
      <c r="O17" s="8">
        <v>2.09</v>
      </c>
      <c r="P17" s="7"/>
      <c r="Q17" s="7">
        <v>600</v>
      </c>
      <c r="R17" s="7"/>
      <c r="S17" s="5" t="s">
        <v>30</v>
      </c>
    </row>
    <row r="18" spans="1:19" x14ac:dyDescent="0.25">
      <c r="A18" s="5" t="s">
        <v>90</v>
      </c>
      <c r="B18" s="6" t="s">
        <v>91</v>
      </c>
      <c r="C18" s="6" t="s">
        <v>44</v>
      </c>
      <c r="D18" s="5" t="s">
        <v>45</v>
      </c>
      <c r="E18" s="5" t="s">
        <v>56</v>
      </c>
      <c r="F18" s="7">
        <v>200</v>
      </c>
      <c r="G18" s="8">
        <v>0.95</v>
      </c>
      <c r="H18" s="7">
        <v>210.53</v>
      </c>
      <c r="I18" s="8">
        <v>1.66</v>
      </c>
      <c r="J18" s="8">
        <v>1</v>
      </c>
      <c r="K18" s="8">
        <v>1</v>
      </c>
      <c r="L18" s="5" t="s">
        <v>47</v>
      </c>
      <c r="M18" s="5" t="s">
        <v>48</v>
      </c>
      <c r="N18" s="5" t="s">
        <v>52</v>
      </c>
      <c r="O18" s="8">
        <v>2.21</v>
      </c>
      <c r="P18" s="7"/>
      <c r="Q18" s="7"/>
      <c r="R18" s="7">
        <v>210.53</v>
      </c>
      <c r="S18" s="5" t="s">
        <v>30</v>
      </c>
    </row>
    <row r="19" spans="1:19" x14ac:dyDescent="0.25">
      <c r="A19" s="9" t="s">
        <v>31</v>
      </c>
      <c r="B19" s="9"/>
      <c r="C19" s="9"/>
      <c r="D19" s="9"/>
      <c r="E19" s="9"/>
      <c r="F19" s="10">
        <f>SUM(F6:F18)</f>
        <v>22395.76</v>
      </c>
      <c r="G19" s="9"/>
      <c r="H19" s="10">
        <f>SUM(H6:H18)</f>
        <v>23831.67</v>
      </c>
      <c r="I19" s="9"/>
      <c r="J19" s="9"/>
      <c r="K19" s="9"/>
      <c r="L19" s="9"/>
      <c r="M19" s="9"/>
      <c r="N19" s="9"/>
      <c r="O19" s="9"/>
      <c r="P19" s="10">
        <f>SUM(P6:P18)</f>
        <v>6780.57</v>
      </c>
      <c r="Q19" s="10">
        <f>SUM(Q6:Q18)</f>
        <v>8940</v>
      </c>
      <c r="R19" s="10">
        <f>SUM(R6:R18)</f>
        <v>8111.1</v>
      </c>
      <c r="S19" s="9"/>
    </row>
    <row r="21" spans="1:1" x14ac:dyDescent="0.25">
      <c r="A21" s="11" t="s">
        <v>32</v>
      </c>
    </row>
    <row r="22" spans="1:6" x14ac:dyDescent="0.25">
      <c r="A22" s="12" t="s">
        <v>33</v>
      </c>
      <c r="B22" s="12"/>
      <c r="C22" s="12"/>
      <c r="D22" s="12"/>
      <c r="E22" s="13">
        <f>SUMIF(C6:C18,"&lt;&gt;Distribuição (alimentador de quadro)",H6:H18)</f>
        <v>23831.67</v>
      </c>
      <c r="F22" s="13"/>
    </row>
    <row r="23" spans="1:6" x14ac:dyDescent="0.25">
      <c r="A23" s="12" t="s">
        <v>34</v>
      </c>
      <c r="B23" s="12"/>
      <c r="C23" s="12"/>
      <c r="D23" s="12"/>
      <c r="E23" s="13">
        <f>SUMIF(C6:C18,"Distribuição (alimentador de quadro)",H6:H18)</f>
        <v>0</v>
      </c>
      <c r="F23" s="13"/>
    </row>
    <row r="24" spans="1:6" x14ac:dyDescent="0.25">
      <c r="A24" s="14" t="s">
        <v>35</v>
      </c>
      <c r="B24" s="14"/>
      <c r="C24" s="14"/>
      <c r="D24" s="14"/>
      <c r="E24" s="15">
        <v>1</v>
      </c>
      <c r="F24" s="15"/>
    </row>
    <row r="25" spans="1:6" x14ac:dyDescent="0.25">
      <c r="A25" s="14" t="s">
        <v>36</v>
      </c>
      <c r="B25" s="14"/>
      <c r="C25" s="14"/>
      <c r="D25" s="14"/>
      <c r="E25" s="16"/>
      <c r="F25" s="16"/>
    </row>
    <row r="26" spans="1:6" x14ac:dyDescent="0.25">
      <c r="A26" s="12" t="s">
        <v>37</v>
      </c>
      <c r="B26" s="12"/>
      <c r="C26" s="12"/>
      <c r="D26" s="12"/>
      <c r="E26" s="13">
        <f>IF(N(E25)&gt;0,E25*1000,E24*E22+E23)</f>
        <v>23831.67</v>
      </c>
      <c r="F26" s="13"/>
    </row>
    <row r="27" spans="1:6" x14ac:dyDescent="0.25">
      <c r="A27" s="12" t="s">
        <v>38</v>
      </c>
      <c r="B27" s="12"/>
      <c r="C27" s="12"/>
      <c r="D27" s="12"/>
      <c r="E27" s="17">
        <f>E26/(SQRT(3)*220)</f>
        <v>62.54</v>
      </c>
      <c r="F27" s="17"/>
    </row>
    <row r="28" spans="1:6" x14ac:dyDescent="0.25">
      <c r="A28" s="12" t="s">
        <v>39</v>
      </c>
      <c r="B28" s="12"/>
      <c r="C28" s="12"/>
      <c r="D28" s="12"/>
      <c r="E28" s="18">
        <f>IF(MAX(P19,Q19,R19)&gt;0,(MAX(P19,Q19,R19)-MIN(P19,Q19,R19))/MAX(P19,Q19,R19),0)</f>
        <v>0.24154693103938063</v>
      </c>
      <c r="F28" s="18"/>
    </row>
    <row r="29" spans="1:6" x14ac:dyDescent="0.25">
      <c r="A29" s="12" t="s">
        <v>92</v>
      </c>
      <c r="B29" s="12"/>
      <c r="C29" s="12"/>
      <c r="D29" s="12"/>
      <c r="E29" s="20" t="s">
        <v>93</v>
      </c>
      <c r="F29" s="20"/>
    </row>
    <row r="31" ht="26" customHeight="1" spans="1:19" x14ac:dyDescent="0.25">
      <c r="A31" s="19" t="s">
        <v>40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</sheetData>
  <autoFilter ref="A5:S18"/>
  <mergeCells count="20">
    <mergeCell ref="A1:S1"/>
    <mergeCell ref="A2:S2"/>
    <mergeCell ref="A3:S3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1:S3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4" customWidth="1"/>
    <col min="4" max="4" width="18" customWidth="1"/>
    <col min="5" max="5" width="13" customWidth="1"/>
    <col min="6" max="7" width="7" customWidth="1"/>
    <col min="8" max="8" width="10" customWidth="1"/>
    <col min="9" max="9" width="6" customWidth="1"/>
    <col min="10" max="10" width="10" customWidth="1"/>
    <col min="11" max="11" width="8" customWidth="1"/>
    <col min="12" max="12" width="7" customWidth="1"/>
    <col min="13" max="13" width="30" customWidth="1"/>
    <col min="14" max="14" width="10" customWidth="1"/>
    <col min="15" max="16" width="6" customWidth="1"/>
    <col min="17" max="17" width="8" customWidth="1"/>
    <col min="18" max="18" width="15" customWidth="1"/>
    <col min="19" max="19" width="8" customWidth="1"/>
    <col min="20" max="20" width="18" customWidth="1"/>
    <col min="21" max="21" width="16" customWidth="1"/>
    <col min="24" max="24" width="28" customWidth="1"/>
    <col min="25" max="25" width="14" customWidth="1"/>
    <col min="26" max="26" width="60" customWidth="1"/>
  </cols>
  <sheetData>
    <row r="1" spans="1:26" x14ac:dyDescent="0.2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30" customHeight="1" spans="1:26" x14ac:dyDescent="0.25">
      <c r="A5" s="3" t="s">
        <v>3</v>
      </c>
      <c r="B5" s="3" t="s">
        <v>95</v>
      </c>
      <c r="C5" s="4" t="s">
        <v>4</v>
      </c>
      <c r="D5" s="4" t="s">
        <v>5</v>
      </c>
      <c r="E5" s="3" t="s">
        <v>6</v>
      </c>
      <c r="F5" s="3" t="s">
        <v>7</v>
      </c>
      <c r="G5" s="3" t="s">
        <v>96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97</v>
      </c>
      <c r="M5" s="4" t="s">
        <v>98</v>
      </c>
      <c r="N5" s="3" t="s">
        <v>99</v>
      </c>
      <c r="O5" s="3" t="s">
        <v>12</v>
      </c>
      <c r="P5" s="3" t="s">
        <v>13</v>
      </c>
      <c r="Q5" s="3" t="s">
        <v>100</v>
      </c>
      <c r="R5" s="3" t="s">
        <v>14</v>
      </c>
      <c r="S5" s="3" t="s">
        <v>101</v>
      </c>
      <c r="T5" s="4" t="s">
        <v>15</v>
      </c>
      <c r="U5" s="3" t="s">
        <v>16</v>
      </c>
      <c r="V5" s="3" t="s">
        <v>102</v>
      </c>
      <c r="W5" s="3" t="s">
        <v>17</v>
      </c>
      <c r="X5" s="4" t="s">
        <v>103</v>
      </c>
      <c r="Y5" s="3" t="s">
        <v>21</v>
      </c>
      <c r="Z5" s="4" t="s">
        <v>104</v>
      </c>
    </row>
    <row r="6" spans="1:26" x14ac:dyDescent="0.25">
      <c r="A6" s="5" t="s">
        <v>42</v>
      </c>
      <c r="B6" s="5" t="s">
        <v>105</v>
      </c>
      <c r="C6" s="6" t="s">
        <v>43</v>
      </c>
      <c r="D6" s="6" t="s">
        <v>44</v>
      </c>
      <c r="E6" s="5" t="s">
        <v>45</v>
      </c>
      <c r="F6" s="5" t="s">
        <v>46</v>
      </c>
      <c r="G6" s="21">
        <v>127</v>
      </c>
      <c r="H6" s="7">
        <v>717.6</v>
      </c>
      <c r="I6" s="8">
        <v>0.92</v>
      </c>
      <c r="J6" s="7">
        <v>780</v>
      </c>
      <c r="K6" s="8">
        <v>6.14</v>
      </c>
      <c r="L6" s="22">
        <v>24</v>
      </c>
      <c r="M6" s="6" t="s">
        <v>106</v>
      </c>
      <c r="N6" s="5" t="s">
        <v>107</v>
      </c>
      <c r="O6" s="8">
        <v>1</v>
      </c>
      <c r="P6" s="8">
        <v>0.7</v>
      </c>
      <c r="Q6" s="23">
        <v>0.7</v>
      </c>
      <c r="R6" s="5" t="s">
        <v>47</v>
      </c>
      <c r="S6" s="22">
        <v>12.25</v>
      </c>
      <c r="T6" s="6" t="s">
        <v>108</v>
      </c>
      <c r="U6" s="5" t="s">
        <v>29</v>
      </c>
      <c r="V6" s="8">
        <v>3.41</v>
      </c>
      <c r="W6" s="8">
        <v>4.24</v>
      </c>
      <c r="X6" s="6" t="s">
        <v>109</v>
      </c>
      <c r="Y6" s="5" t="s">
        <v>30</v>
      </c>
      <c r="Z6" s="6" t="s">
        <v>110</v>
      </c>
    </row>
    <row r="7" spans="1:26" x14ac:dyDescent="0.25">
      <c r="A7" s="5" t="s">
        <v>49</v>
      </c>
      <c r="B7" s="5" t="s">
        <v>105</v>
      </c>
      <c r="C7" s="6" t="s">
        <v>50</v>
      </c>
      <c r="D7" s="6" t="s">
        <v>44</v>
      </c>
      <c r="E7" s="5" t="s">
        <v>45</v>
      </c>
      <c r="F7" s="5" t="s">
        <v>51</v>
      </c>
      <c r="G7" s="21">
        <v>127</v>
      </c>
      <c r="H7" s="7">
        <v>496.8</v>
      </c>
      <c r="I7" s="8">
        <v>0.92</v>
      </c>
      <c r="J7" s="7">
        <v>540</v>
      </c>
      <c r="K7" s="8">
        <v>4.25</v>
      </c>
      <c r="L7" s="22">
        <v>18</v>
      </c>
      <c r="M7" s="6" t="s">
        <v>106</v>
      </c>
      <c r="N7" s="5" t="s">
        <v>107</v>
      </c>
      <c r="O7" s="8">
        <v>1</v>
      </c>
      <c r="P7" s="8">
        <v>0.65</v>
      </c>
      <c r="Q7" s="23">
        <v>0.65</v>
      </c>
      <c r="R7" s="5" t="s">
        <v>47</v>
      </c>
      <c r="S7" s="22">
        <v>11.38</v>
      </c>
      <c r="T7" s="6" t="s">
        <v>108</v>
      </c>
      <c r="U7" s="5" t="s">
        <v>111</v>
      </c>
      <c r="V7" s="8">
        <v>1.77</v>
      </c>
      <c r="W7" s="8">
        <v>2.6</v>
      </c>
      <c r="X7" s="6" t="s">
        <v>112</v>
      </c>
      <c r="Y7" s="5" t="s">
        <v>30</v>
      </c>
      <c r="Z7" s="6" t="s">
        <v>110</v>
      </c>
    </row>
    <row r="8" spans="1:26" x14ac:dyDescent="0.25">
      <c r="A8" s="5" t="s">
        <v>53</v>
      </c>
      <c r="B8" s="5" t="s">
        <v>105</v>
      </c>
      <c r="C8" s="6" t="s">
        <v>54</v>
      </c>
      <c r="D8" s="6" t="s">
        <v>55</v>
      </c>
      <c r="E8" s="5" t="s">
        <v>45</v>
      </c>
      <c r="F8" s="5" t="s">
        <v>56</v>
      </c>
      <c r="G8" s="21">
        <v>127</v>
      </c>
      <c r="H8" s="7">
        <v>1040</v>
      </c>
      <c r="I8" s="8">
        <v>0.8</v>
      </c>
      <c r="J8" s="7">
        <v>1300</v>
      </c>
      <c r="K8" s="8">
        <v>10.24</v>
      </c>
      <c r="L8" s="22">
        <v>22</v>
      </c>
      <c r="M8" s="6" t="s">
        <v>106</v>
      </c>
      <c r="N8" s="5" t="s">
        <v>107</v>
      </c>
      <c r="O8" s="8">
        <v>1</v>
      </c>
      <c r="P8" s="8">
        <v>0.7</v>
      </c>
      <c r="Q8" s="23">
        <v>0.7</v>
      </c>
      <c r="R8" s="5" t="s">
        <v>57</v>
      </c>
      <c r="S8" s="22">
        <v>16.8</v>
      </c>
      <c r="T8" s="6" t="s">
        <v>113</v>
      </c>
      <c r="U8" s="5" t="s">
        <v>29</v>
      </c>
      <c r="V8" s="8">
        <v>2.73</v>
      </c>
      <c r="W8" s="8">
        <v>3.56</v>
      </c>
      <c r="X8" s="6" t="s">
        <v>109</v>
      </c>
      <c r="Y8" s="5" t="s">
        <v>30</v>
      </c>
      <c r="Z8" s="6" t="s">
        <v>110</v>
      </c>
    </row>
    <row r="9" spans="1:26" x14ac:dyDescent="0.25">
      <c r="A9" s="5" t="s">
        <v>59</v>
      </c>
      <c r="B9" s="5" t="s">
        <v>105</v>
      </c>
      <c r="C9" s="6" t="s">
        <v>60</v>
      </c>
      <c r="D9" s="6" t="s">
        <v>55</v>
      </c>
      <c r="E9" s="5" t="s">
        <v>45</v>
      </c>
      <c r="F9" s="5" t="s">
        <v>46</v>
      </c>
      <c r="G9" s="21">
        <v>127</v>
      </c>
      <c r="H9" s="7">
        <v>1520</v>
      </c>
      <c r="I9" s="8">
        <v>0.8</v>
      </c>
      <c r="J9" s="7">
        <v>1900</v>
      </c>
      <c r="K9" s="8">
        <v>14.96</v>
      </c>
      <c r="L9" s="22">
        <v>14</v>
      </c>
      <c r="M9" s="6" t="s">
        <v>106</v>
      </c>
      <c r="N9" s="5" t="s">
        <v>107</v>
      </c>
      <c r="O9" s="8">
        <v>1</v>
      </c>
      <c r="P9" s="8">
        <v>0.65</v>
      </c>
      <c r="Q9" s="23">
        <v>0.65</v>
      </c>
      <c r="R9" s="5" t="s">
        <v>61</v>
      </c>
      <c r="S9" s="22">
        <v>20.8</v>
      </c>
      <c r="T9" s="6" t="s">
        <v>113</v>
      </c>
      <c r="U9" s="5" t="s">
        <v>111</v>
      </c>
      <c r="V9" s="8">
        <v>1.59</v>
      </c>
      <c r="W9" s="8">
        <v>2.41</v>
      </c>
      <c r="X9" s="6" t="s">
        <v>112</v>
      </c>
      <c r="Y9" s="5" t="s">
        <v>30</v>
      </c>
      <c r="Z9" s="6" t="s">
        <v>110</v>
      </c>
    </row>
    <row r="10" spans="1:26" x14ac:dyDescent="0.25">
      <c r="A10" s="5" t="s">
        <v>62</v>
      </c>
      <c r="B10" s="5" t="s">
        <v>105</v>
      </c>
      <c r="C10" s="6" t="s">
        <v>63</v>
      </c>
      <c r="D10" s="6" t="s">
        <v>55</v>
      </c>
      <c r="E10" s="5" t="s">
        <v>45</v>
      </c>
      <c r="F10" s="5" t="s">
        <v>51</v>
      </c>
      <c r="G10" s="21">
        <v>127</v>
      </c>
      <c r="H10" s="7">
        <v>1040</v>
      </c>
      <c r="I10" s="8">
        <v>0.8</v>
      </c>
      <c r="J10" s="7">
        <v>1300</v>
      </c>
      <c r="K10" s="8">
        <v>10.24</v>
      </c>
      <c r="L10" s="22">
        <v>17</v>
      </c>
      <c r="M10" s="6" t="s">
        <v>106</v>
      </c>
      <c r="N10" s="5" t="s">
        <v>107</v>
      </c>
      <c r="O10" s="8">
        <v>1</v>
      </c>
      <c r="P10" s="8">
        <v>0.65</v>
      </c>
      <c r="Q10" s="23">
        <v>0.65</v>
      </c>
      <c r="R10" s="5" t="s">
        <v>61</v>
      </c>
      <c r="S10" s="22">
        <v>20.8</v>
      </c>
      <c r="T10" s="6" t="s">
        <v>113</v>
      </c>
      <c r="U10" s="5" t="s">
        <v>111</v>
      </c>
      <c r="V10" s="8">
        <v>1.32</v>
      </c>
      <c r="W10" s="8">
        <v>2.15</v>
      </c>
      <c r="X10" s="6" t="s">
        <v>112</v>
      </c>
      <c r="Y10" s="5" t="s">
        <v>30</v>
      </c>
      <c r="Z10" s="6" t="s">
        <v>110</v>
      </c>
    </row>
    <row r="11" spans="1:26" x14ac:dyDescent="0.25">
      <c r="A11" s="5" t="s">
        <v>64</v>
      </c>
      <c r="B11" s="5" t="s">
        <v>105</v>
      </c>
      <c r="C11" s="6" t="s">
        <v>65</v>
      </c>
      <c r="D11" s="6" t="s">
        <v>66</v>
      </c>
      <c r="E11" s="5" t="s">
        <v>67</v>
      </c>
      <c r="F11" s="5" t="s">
        <v>68</v>
      </c>
      <c r="G11" s="21">
        <v>220</v>
      </c>
      <c r="H11" s="7">
        <v>5500</v>
      </c>
      <c r="I11" s="8">
        <v>1</v>
      </c>
      <c r="J11" s="7">
        <v>5500</v>
      </c>
      <c r="K11" s="8">
        <v>25</v>
      </c>
      <c r="L11" s="22">
        <v>15</v>
      </c>
      <c r="M11" s="6" t="s">
        <v>106</v>
      </c>
      <c r="N11" s="5" t="s">
        <v>107</v>
      </c>
      <c r="O11" s="8">
        <v>1</v>
      </c>
      <c r="P11" s="8">
        <v>0.8</v>
      </c>
      <c r="Q11" s="23">
        <v>0.8</v>
      </c>
      <c r="R11" s="5" t="s">
        <v>69</v>
      </c>
      <c r="S11" s="22">
        <v>25.6</v>
      </c>
      <c r="T11" s="6" t="s">
        <v>114</v>
      </c>
      <c r="U11" s="5" t="s">
        <v>111</v>
      </c>
      <c r="V11" s="8">
        <v>2.02</v>
      </c>
      <c r="W11" s="8">
        <v>2.85</v>
      </c>
      <c r="X11" s="6" t="s">
        <v>109</v>
      </c>
      <c r="Y11" s="5" t="s">
        <v>30</v>
      </c>
      <c r="Z11" s="6" t="s">
        <v>110</v>
      </c>
    </row>
    <row r="12" spans="1:26" x14ac:dyDescent="0.25">
      <c r="A12" s="5" t="s">
        <v>71</v>
      </c>
      <c r="B12" s="5" t="s">
        <v>105</v>
      </c>
      <c r="C12" s="6" t="s">
        <v>72</v>
      </c>
      <c r="D12" s="6" t="s">
        <v>66</v>
      </c>
      <c r="E12" s="5" t="s">
        <v>67</v>
      </c>
      <c r="F12" s="5" t="s">
        <v>73</v>
      </c>
      <c r="G12" s="21">
        <v>220</v>
      </c>
      <c r="H12" s="7">
        <v>7500</v>
      </c>
      <c r="I12" s="8">
        <v>1</v>
      </c>
      <c r="J12" s="7">
        <v>7500</v>
      </c>
      <c r="K12" s="8">
        <v>34.09</v>
      </c>
      <c r="L12" s="22">
        <v>21</v>
      </c>
      <c r="M12" s="6" t="s">
        <v>106</v>
      </c>
      <c r="N12" s="5" t="s">
        <v>107</v>
      </c>
      <c r="O12" s="8">
        <v>1</v>
      </c>
      <c r="P12" s="8">
        <v>0.8</v>
      </c>
      <c r="Q12" s="23">
        <v>0.8</v>
      </c>
      <c r="R12" s="5" t="s">
        <v>74</v>
      </c>
      <c r="S12" s="22">
        <v>45.6</v>
      </c>
      <c r="T12" s="6" t="s">
        <v>115</v>
      </c>
      <c r="U12" s="5" t="s">
        <v>116</v>
      </c>
      <c r="V12" s="8">
        <v>1.49</v>
      </c>
      <c r="W12" s="8">
        <v>2.32</v>
      </c>
      <c r="X12" s="6" t="s">
        <v>109</v>
      </c>
      <c r="Y12" s="5" t="s">
        <v>30</v>
      </c>
      <c r="Z12" s="6" t="s">
        <v>110</v>
      </c>
    </row>
    <row r="13" spans="1:26" x14ac:dyDescent="0.25">
      <c r="A13" s="5" t="s">
        <v>77</v>
      </c>
      <c r="B13" s="5" t="s">
        <v>105</v>
      </c>
      <c r="C13" s="6" t="s">
        <v>78</v>
      </c>
      <c r="D13" s="6" t="s">
        <v>66</v>
      </c>
      <c r="E13" s="5" t="s">
        <v>67</v>
      </c>
      <c r="F13" s="5" t="s">
        <v>79</v>
      </c>
      <c r="G13" s="21">
        <v>220</v>
      </c>
      <c r="H13" s="7">
        <v>1300</v>
      </c>
      <c r="I13" s="8">
        <v>0.9</v>
      </c>
      <c r="J13" s="7">
        <v>1444.44</v>
      </c>
      <c r="K13" s="8">
        <v>6.57</v>
      </c>
      <c r="L13" s="22">
        <v>19</v>
      </c>
      <c r="M13" s="6" t="s">
        <v>106</v>
      </c>
      <c r="N13" s="5" t="s">
        <v>107</v>
      </c>
      <c r="O13" s="8">
        <v>1</v>
      </c>
      <c r="P13" s="8">
        <v>0.7</v>
      </c>
      <c r="Q13" s="23">
        <v>0.7</v>
      </c>
      <c r="R13" s="5" t="s">
        <v>80</v>
      </c>
      <c r="S13" s="22">
        <v>16.8</v>
      </c>
      <c r="T13" s="6" t="s">
        <v>117</v>
      </c>
      <c r="U13" s="5" t="s">
        <v>29</v>
      </c>
      <c r="V13" s="8">
        <v>0.98</v>
      </c>
      <c r="W13" s="8">
        <v>1.81</v>
      </c>
      <c r="X13" s="6" t="s">
        <v>109</v>
      </c>
      <c r="Y13" s="5" t="s">
        <v>30</v>
      </c>
      <c r="Z13" s="6" t="s">
        <v>110</v>
      </c>
    </row>
    <row r="14" spans="1:26" x14ac:dyDescent="0.25">
      <c r="A14" s="5" t="s">
        <v>81</v>
      </c>
      <c r="B14" s="5" t="s">
        <v>105</v>
      </c>
      <c r="C14" s="6" t="s">
        <v>82</v>
      </c>
      <c r="D14" s="6" t="s">
        <v>66</v>
      </c>
      <c r="E14" s="5" t="s">
        <v>45</v>
      </c>
      <c r="F14" s="5" t="s">
        <v>56</v>
      </c>
      <c r="G14" s="21">
        <v>127</v>
      </c>
      <c r="H14" s="7">
        <v>1800</v>
      </c>
      <c r="I14" s="8">
        <v>1</v>
      </c>
      <c r="J14" s="7">
        <v>1800</v>
      </c>
      <c r="K14" s="8">
        <v>14.17</v>
      </c>
      <c r="L14" s="22">
        <v>12</v>
      </c>
      <c r="M14" s="6" t="s">
        <v>106</v>
      </c>
      <c r="N14" s="5" t="s">
        <v>107</v>
      </c>
      <c r="O14" s="8">
        <v>1</v>
      </c>
      <c r="P14" s="8">
        <v>0.65</v>
      </c>
      <c r="Q14" s="23">
        <v>0.65</v>
      </c>
      <c r="R14" s="5" t="s">
        <v>61</v>
      </c>
      <c r="S14" s="22">
        <v>20.8</v>
      </c>
      <c r="T14" s="6" t="s">
        <v>113</v>
      </c>
      <c r="U14" s="5" t="s">
        <v>111</v>
      </c>
      <c r="V14" s="8">
        <v>1.59</v>
      </c>
      <c r="W14" s="8">
        <v>2.42</v>
      </c>
      <c r="X14" s="6" t="s">
        <v>112</v>
      </c>
      <c r="Y14" s="5" t="s">
        <v>30</v>
      </c>
      <c r="Z14" s="6" t="s">
        <v>110</v>
      </c>
    </row>
    <row r="15" spans="1:26" x14ac:dyDescent="0.25">
      <c r="A15" s="5" t="s">
        <v>83</v>
      </c>
      <c r="B15" s="5" t="s">
        <v>105</v>
      </c>
      <c r="C15" s="6" t="s">
        <v>84</v>
      </c>
      <c r="D15" s="6" t="s">
        <v>85</v>
      </c>
      <c r="E15" s="5" t="s">
        <v>67</v>
      </c>
      <c r="F15" s="5" t="s">
        <v>79</v>
      </c>
      <c r="G15" s="21">
        <v>220</v>
      </c>
      <c r="H15" s="7">
        <v>525.36</v>
      </c>
      <c r="I15" s="8">
        <v>0.8</v>
      </c>
      <c r="J15" s="7">
        <v>656.7</v>
      </c>
      <c r="K15" s="8">
        <v>3.43</v>
      </c>
      <c r="L15" s="22">
        <v>28</v>
      </c>
      <c r="M15" s="6" t="s">
        <v>118</v>
      </c>
      <c r="N15" s="5" t="s">
        <v>119</v>
      </c>
      <c r="O15" s="8">
        <v>1</v>
      </c>
      <c r="P15" s="8">
        <v>1</v>
      </c>
      <c r="Q15" s="23">
        <v>1</v>
      </c>
      <c r="R15" s="5" t="s">
        <v>80</v>
      </c>
      <c r="S15" s="22">
        <v>29</v>
      </c>
      <c r="T15" s="6" t="s">
        <v>117</v>
      </c>
      <c r="U15" s="5" t="s">
        <v>111</v>
      </c>
      <c r="V15" s="8">
        <v>0.68</v>
      </c>
      <c r="W15" s="8">
        <v>1.5</v>
      </c>
      <c r="X15" s="6" t="s">
        <v>109</v>
      </c>
      <c r="Y15" s="5" t="s">
        <v>30</v>
      </c>
      <c r="Z15" s="6" t="s">
        <v>110</v>
      </c>
    </row>
    <row r="16" spans="1:26" x14ac:dyDescent="0.25">
      <c r="A16" s="5" t="s">
        <v>86</v>
      </c>
      <c r="B16" s="5" t="s">
        <v>105</v>
      </c>
      <c r="C16" s="6" t="s">
        <v>87</v>
      </c>
      <c r="D16" s="6" t="s">
        <v>44</v>
      </c>
      <c r="E16" s="5" t="s">
        <v>45</v>
      </c>
      <c r="F16" s="5" t="s">
        <v>46</v>
      </c>
      <c r="G16" s="21">
        <v>127</v>
      </c>
      <c r="H16" s="7">
        <v>276</v>
      </c>
      <c r="I16" s="8">
        <v>0.92</v>
      </c>
      <c r="J16" s="7">
        <v>300</v>
      </c>
      <c r="K16" s="8">
        <v>2.36</v>
      </c>
      <c r="L16" s="22">
        <v>20</v>
      </c>
      <c r="M16" s="6" t="s">
        <v>106</v>
      </c>
      <c r="N16" s="5" t="s">
        <v>120</v>
      </c>
      <c r="O16" s="8">
        <v>1</v>
      </c>
      <c r="P16" s="8">
        <v>0.8</v>
      </c>
      <c r="Q16" s="23">
        <v>0.8</v>
      </c>
      <c r="R16" s="5" t="s">
        <v>47</v>
      </c>
      <c r="S16" s="22">
        <v>14</v>
      </c>
      <c r="T16" s="6" t="s">
        <v>108</v>
      </c>
      <c r="U16" s="5" t="s">
        <v>111</v>
      </c>
      <c r="V16" s="8">
        <v>1.09</v>
      </c>
      <c r="W16" s="8">
        <v>1.92</v>
      </c>
      <c r="X16" s="6" t="s">
        <v>121</v>
      </c>
      <c r="Y16" s="5" t="s">
        <v>30</v>
      </c>
      <c r="Z16" s="6" t="s">
        <v>110</v>
      </c>
    </row>
    <row r="17" spans="1:26" x14ac:dyDescent="0.25">
      <c r="A17" s="5" t="s">
        <v>88</v>
      </c>
      <c r="B17" s="5" t="s">
        <v>105</v>
      </c>
      <c r="C17" s="6" t="s">
        <v>89</v>
      </c>
      <c r="D17" s="6" t="s">
        <v>55</v>
      </c>
      <c r="E17" s="5" t="s">
        <v>45</v>
      </c>
      <c r="F17" s="5" t="s">
        <v>51</v>
      </c>
      <c r="G17" s="21">
        <v>127</v>
      </c>
      <c r="H17" s="7">
        <v>480</v>
      </c>
      <c r="I17" s="8">
        <v>0.8</v>
      </c>
      <c r="J17" s="7">
        <v>600</v>
      </c>
      <c r="K17" s="8">
        <v>4.72</v>
      </c>
      <c r="L17" s="22">
        <v>22</v>
      </c>
      <c r="M17" s="6" t="s">
        <v>106</v>
      </c>
      <c r="N17" s="5" t="s">
        <v>120</v>
      </c>
      <c r="O17" s="8">
        <v>1</v>
      </c>
      <c r="P17" s="8">
        <v>0.8</v>
      </c>
      <c r="Q17" s="23">
        <v>0.8</v>
      </c>
      <c r="R17" s="5" t="s">
        <v>57</v>
      </c>
      <c r="S17" s="22">
        <v>19.2</v>
      </c>
      <c r="T17" s="6" t="s">
        <v>108</v>
      </c>
      <c r="U17" s="5" t="s">
        <v>111</v>
      </c>
      <c r="V17" s="8">
        <v>1.26</v>
      </c>
      <c r="W17" s="8">
        <v>2.09</v>
      </c>
      <c r="X17" s="6" t="s">
        <v>121</v>
      </c>
      <c r="Y17" s="5" t="s">
        <v>30</v>
      </c>
      <c r="Z17" s="6" t="s">
        <v>110</v>
      </c>
    </row>
    <row r="18" spans="1:26" x14ac:dyDescent="0.25">
      <c r="A18" s="5" t="s">
        <v>90</v>
      </c>
      <c r="B18" s="5" t="s">
        <v>105</v>
      </c>
      <c r="C18" s="6" t="s">
        <v>91</v>
      </c>
      <c r="D18" s="6" t="s">
        <v>44</v>
      </c>
      <c r="E18" s="5" t="s">
        <v>45</v>
      </c>
      <c r="F18" s="5" t="s">
        <v>56</v>
      </c>
      <c r="G18" s="21">
        <v>127</v>
      </c>
      <c r="H18" s="7">
        <v>200</v>
      </c>
      <c r="I18" s="8">
        <v>0.95</v>
      </c>
      <c r="J18" s="7">
        <v>210.53</v>
      </c>
      <c r="K18" s="8">
        <v>1.66</v>
      </c>
      <c r="L18" s="22">
        <v>35</v>
      </c>
      <c r="M18" s="6" t="s">
        <v>118</v>
      </c>
      <c r="N18" s="5" t="s">
        <v>119</v>
      </c>
      <c r="O18" s="8">
        <v>1</v>
      </c>
      <c r="P18" s="8">
        <v>1</v>
      </c>
      <c r="Q18" s="23">
        <v>1</v>
      </c>
      <c r="R18" s="5" t="s">
        <v>47</v>
      </c>
      <c r="S18" s="22">
        <v>22</v>
      </c>
      <c r="T18" s="6" t="s">
        <v>108</v>
      </c>
      <c r="U18" s="5" t="s">
        <v>111</v>
      </c>
      <c r="V18" s="8">
        <v>1.39</v>
      </c>
      <c r="W18" s="8">
        <v>2.21</v>
      </c>
      <c r="X18" s="6" t="s">
        <v>122</v>
      </c>
      <c r="Y18" s="5" t="s">
        <v>30</v>
      </c>
      <c r="Z18" s="6" t="s">
        <v>110</v>
      </c>
    </row>
    <row r="19" spans="1:26" x14ac:dyDescent="0.25">
      <c r="A19" s="5" t="s">
        <v>22</v>
      </c>
      <c r="B19" s="5" t="s">
        <v>123</v>
      </c>
      <c r="C19" s="6" t="s">
        <v>23</v>
      </c>
      <c r="D19" s="6" t="s">
        <v>24</v>
      </c>
      <c r="E19" s="5" t="s">
        <v>25</v>
      </c>
      <c r="F19" s="5" t="s">
        <v>26</v>
      </c>
      <c r="G19" s="21">
        <v>220</v>
      </c>
      <c r="H19" s="7">
        <v>22395.76</v>
      </c>
      <c r="I19" s="8">
        <v>0.94</v>
      </c>
      <c r="J19" s="7">
        <v>23831.67</v>
      </c>
      <c r="K19" s="8">
        <v>62.54</v>
      </c>
      <c r="L19" s="22">
        <v>12</v>
      </c>
      <c r="M19" s="6" t="s">
        <v>118</v>
      </c>
      <c r="N19" s="5" t="s">
        <v>119</v>
      </c>
      <c r="O19" s="8">
        <v>1</v>
      </c>
      <c r="P19" s="8">
        <v>1</v>
      </c>
      <c r="Q19" s="23">
        <v>1</v>
      </c>
      <c r="R19" s="5" t="s">
        <v>27</v>
      </c>
      <c r="S19" s="22">
        <v>67</v>
      </c>
      <c r="T19" s="6" t="s">
        <v>124</v>
      </c>
      <c r="U19" s="5" t="s">
        <v>29</v>
      </c>
      <c r="V19" s="8">
        <v>0.83</v>
      </c>
      <c r="W19" s="8">
        <v>0.83</v>
      </c>
      <c r="X19" s="6" t="s">
        <v>125</v>
      </c>
      <c r="Y19" s="5" t="s">
        <v>30</v>
      </c>
      <c r="Z19" s="6" t="s">
        <v>110</v>
      </c>
    </row>
  </sheetData>
  <autoFilter ref="A5:Z19"/>
  <mergeCells count="3">
    <mergeCell ref="A1:Z1"/>
    <mergeCell ref="A2:Z2"/>
    <mergeCell ref="A3:Z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4" width="10" customWidth="1"/>
    <col min="6" max="6" width="10" customWidth="1"/>
    <col min="7" max="7" width="34" customWidth="1"/>
    <col min="8" max="8" width="8" customWidth="1"/>
    <col min="10" max="10" width="10" customWidth="1"/>
    <col min="11" max="11" width="7" customWidth="1"/>
    <col min="12" max="12" width="12" customWidth="1"/>
    <col min="13" max="13" width="60" customWidth="1"/>
  </cols>
  <sheetData>
    <row r="1" spans="1:13" x14ac:dyDescent="0.2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30" customHeight="1" spans="1:13" x14ac:dyDescent="0.25">
      <c r="A5" s="4" t="s">
        <v>127</v>
      </c>
      <c r="B5" s="4" t="s">
        <v>128</v>
      </c>
      <c r="C5" s="3" t="s">
        <v>129</v>
      </c>
      <c r="D5" s="3" t="s">
        <v>130</v>
      </c>
      <c r="E5" s="3" t="s">
        <v>131</v>
      </c>
      <c r="F5" s="3" t="s">
        <v>132</v>
      </c>
      <c r="G5" s="4" t="s">
        <v>133</v>
      </c>
      <c r="H5" s="3" t="s">
        <v>134</v>
      </c>
      <c r="I5" s="3" t="s">
        <v>135</v>
      </c>
      <c r="J5" s="3" t="s">
        <v>136</v>
      </c>
      <c r="K5" s="3" t="s">
        <v>137</v>
      </c>
      <c r="L5" s="3" t="s">
        <v>21</v>
      </c>
      <c r="M5" s="4" t="s">
        <v>138</v>
      </c>
    </row>
    <row r="6" spans="1:13" x14ac:dyDescent="0.25">
      <c r="A6" s="6" t="s">
        <v>139</v>
      </c>
      <c r="B6" s="6" t="s">
        <v>140</v>
      </c>
      <c r="C6" s="21">
        <v>9</v>
      </c>
      <c r="D6" s="22">
        <v>82.28</v>
      </c>
      <c r="E6" s="24">
        <v>0.4</v>
      </c>
      <c r="F6" s="22">
        <v>16.18</v>
      </c>
      <c r="G6" s="6" t="s">
        <v>109</v>
      </c>
      <c r="H6" s="22">
        <v>21</v>
      </c>
      <c r="I6" s="25">
        <v>0.23755102040816325</v>
      </c>
      <c r="J6" s="22">
        <v>9</v>
      </c>
      <c r="K6" s="21">
        <v>2</v>
      </c>
      <c r="L6" s="5" t="s">
        <v>30</v>
      </c>
      <c r="M6" s="6" t="s">
        <v>110</v>
      </c>
    </row>
    <row r="7" spans="1:13" x14ac:dyDescent="0.25">
      <c r="A7" s="6" t="s">
        <v>141</v>
      </c>
      <c r="B7" s="6" t="s">
        <v>142</v>
      </c>
      <c r="C7" s="21">
        <v>12</v>
      </c>
      <c r="D7" s="22">
        <v>145.9</v>
      </c>
      <c r="E7" s="24">
        <v>0.4</v>
      </c>
      <c r="F7" s="22">
        <v>21.55</v>
      </c>
      <c r="G7" s="6" t="s">
        <v>112</v>
      </c>
      <c r="H7" s="22">
        <v>26.8</v>
      </c>
      <c r="I7" s="25">
        <v>0.25863221207395853</v>
      </c>
      <c r="J7" s="22">
        <v>8</v>
      </c>
      <c r="K7" s="21">
        <v>2</v>
      </c>
      <c r="L7" s="5" t="s">
        <v>30</v>
      </c>
      <c r="M7" s="6" t="s">
        <v>110</v>
      </c>
    </row>
    <row r="8" spans="1:13" x14ac:dyDescent="0.25">
      <c r="A8" s="6" t="s">
        <v>143</v>
      </c>
      <c r="B8" s="6" t="s">
        <v>144</v>
      </c>
      <c r="C8" s="21">
        <v>6</v>
      </c>
      <c r="D8" s="22">
        <v>129.24</v>
      </c>
      <c r="E8" s="24">
        <v>0.4</v>
      </c>
      <c r="F8" s="22">
        <v>20.28</v>
      </c>
      <c r="G8" s="6" t="s">
        <v>109</v>
      </c>
      <c r="H8" s="22">
        <v>21</v>
      </c>
      <c r="I8" s="25">
        <v>0.3731292517006801</v>
      </c>
      <c r="J8" s="22">
        <v>9</v>
      </c>
      <c r="K8" s="21">
        <v>1</v>
      </c>
      <c r="L8" s="5" t="s">
        <v>30</v>
      </c>
      <c r="M8" s="6" t="s">
        <v>110</v>
      </c>
    </row>
    <row r="9" spans="1:13" x14ac:dyDescent="0.25">
      <c r="A9" s="6" t="s">
        <v>145</v>
      </c>
      <c r="B9" s="6" t="s">
        <v>83</v>
      </c>
      <c r="C9" s="21">
        <v>3</v>
      </c>
      <c r="D9" s="22">
        <v>82.02</v>
      </c>
      <c r="E9" s="24">
        <v>0.4</v>
      </c>
      <c r="F9" s="22">
        <v>16.16</v>
      </c>
      <c r="G9" s="6" t="s">
        <v>109</v>
      </c>
      <c r="H9" s="22">
        <v>21</v>
      </c>
      <c r="I9" s="25">
        <v>0.2368027210884354</v>
      </c>
      <c r="J9" s="22"/>
      <c r="K9" s="21">
        <v>0</v>
      </c>
      <c r="L9" s="5" t="s">
        <v>30</v>
      </c>
      <c r="M9" s="6" t="s">
        <v>110</v>
      </c>
    </row>
    <row r="10" spans="1:13" x14ac:dyDescent="0.25">
      <c r="A10" s="6" t="s">
        <v>146</v>
      </c>
      <c r="B10" s="6" t="s">
        <v>90</v>
      </c>
      <c r="C10" s="21">
        <v>3</v>
      </c>
      <c r="D10" s="22">
        <v>68.71</v>
      </c>
      <c r="E10" s="24">
        <v>0.4</v>
      </c>
      <c r="F10" s="22">
        <v>14.79</v>
      </c>
      <c r="G10" s="6" t="s">
        <v>122</v>
      </c>
      <c r="H10" s="22">
        <v>16.1</v>
      </c>
      <c r="I10" s="25">
        <v>0.3374869796689942</v>
      </c>
      <c r="J10" s="22"/>
      <c r="K10" s="21">
        <v>0</v>
      </c>
      <c r="L10" s="5" t="s">
        <v>30</v>
      </c>
      <c r="M10" s="6" t="s">
        <v>110</v>
      </c>
    </row>
    <row r="11" spans="1:13" x14ac:dyDescent="0.25">
      <c r="A11" s="6" t="s">
        <v>147</v>
      </c>
      <c r="B11" s="6" t="s">
        <v>22</v>
      </c>
      <c r="C11" s="21">
        <v>5</v>
      </c>
      <c r="D11" s="22">
        <v>354.41</v>
      </c>
      <c r="E11" s="24">
        <v>0.4</v>
      </c>
      <c r="F11" s="22">
        <v>33.59</v>
      </c>
      <c r="G11" s="6" t="s">
        <v>125</v>
      </c>
      <c r="H11" s="22">
        <v>35</v>
      </c>
      <c r="I11" s="25">
        <v>0.36836734693877543</v>
      </c>
      <c r="J11" s="22"/>
      <c r="K11" s="21">
        <v>0</v>
      </c>
      <c r="L11" s="5" t="s">
        <v>30</v>
      </c>
      <c r="M11" s="6" t="s">
        <v>110</v>
      </c>
    </row>
  </sheetData>
  <autoFilter ref="A5:M11"/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7" customWidth="1"/>
    <col min="5" max="5" width="10" customWidth="1"/>
    <col min="8" max="8" width="8" customWidth="1"/>
    <col min="9" max="9" width="10" customWidth="1"/>
    <col min="10" max="10" width="14" customWidth="1"/>
    <col min="14" max="14" width="10" customWidth="1"/>
    <col min="15" max="15" width="7" customWidth="1"/>
    <col min="16" max="16" width="8" customWidth="1"/>
    <col min="17" max="17" width="12" customWidth="1"/>
    <col min="18" max="18" width="60" customWidth="1"/>
  </cols>
  <sheetData>
    <row r="1" spans="1:18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ht="30" customHeight="1" spans="1:18" x14ac:dyDescent="0.25">
      <c r="A5" s="4" t="s">
        <v>127</v>
      </c>
      <c r="B5" s="4" t="s">
        <v>5</v>
      </c>
      <c r="C5" s="4" t="s">
        <v>128</v>
      </c>
      <c r="D5" s="3" t="s">
        <v>149</v>
      </c>
      <c r="E5" s="3" t="s">
        <v>130</v>
      </c>
      <c r="F5" s="3" t="s">
        <v>150</v>
      </c>
      <c r="G5" s="3" t="s">
        <v>131</v>
      </c>
      <c r="H5" s="3" t="s">
        <v>151</v>
      </c>
      <c r="I5" s="3" t="s">
        <v>152</v>
      </c>
      <c r="J5" s="3" t="s">
        <v>153</v>
      </c>
      <c r="K5" s="3" t="s">
        <v>135</v>
      </c>
      <c r="L5" s="3" t="s">
        <v>154</v>
      </c>
      <c r="M5" s="3" t="s">
        <v>155</v>
      </c>
      <c r="N5" s="3" t="s">
        <v>156</v>
      </c>
      <c r="O5" s="3" t="s">
        <v>157</v>
      </c>
      <c r="P5" s="3" t="s">
        <v>158</v>
      </c>
      <c r="Q5" s="3" t="s">
        <v>21</v>
      </c>
      <c r="R5" s="4" t="s">
        <v>138</v>
      </c>
    </row>
    <row r="6" spans="1:18" x14ac:dyDescent="0.25">
      <c r="A6" s="6" t="s">
        <v>159</v>
      </c>
      <c r="B6" s="6" t="s">
        <v>160</v>
      </c>
      <c r="C6" s="6" t="s">
        <v>161</v>
      </c>
      <c r="D6" s="21">
        <v>6</v>
      </c>
      <c r="E6" s="7">
        <v>51.74</v>
      </c>
      <c r="F6" s="21">
        <v>19.8</v>
      </c>
      <c r="G6" s="24">
        <v>0.4</v>
      </c>
      <c r="H6" s="24">
        <v>0.2</v>
      </c>
      <c r="I6" s="21">
        <v>4.08</v>
      </c>
      <c r="J6" s="5" t="s">
        <v>162</v>
      </c>
      <c r="K6" s="25">
        <v>0.035832431443645354</v>
      </c>
      <c r="L6" s="25">
        <v>0.04299891773237443</v>
      </c>
      <c r="M6" s="8">
        <v>0.16</v>
      </c>
      <c r="N6" s="22">
        <v>10</v>
      </c>
      <c r="O6" s="8">
        <v>1.5</v>
      </c>
      <c r="P6" s="21">
        <v>9</v>
      </c>
      <c r="Q6" s="5" t="s">
        <v>30</v>
      </c>
      <c r="R6" s="6" t="s">
        <v>163</v>
      </c>
    </row>
  </sheetData>
  <autoFilter ref="A5:R6"/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4" max="4" width="8" customWidth="1"/>
    <col min="5" max="5" width="6" customWidth="1"/>
    <col min="6" max="6" width="7" customWidth="1"/>
    <col min="7" max="7" width="40" customWidth="1"/>
    <col min="10" max="12" width="6" customWidth="1"/>
    <col min="13" max="13" width="7" customWidth="1"/>
    <col min="14" max="14" width="5" customWidth="1"/>
    <col min="15" max="15" width="8" customWidth="1"/>
    <col min="18" max="18" width="6" customWidth="1"/>
    <col min="20" max="20" width="7" customWidth="1"/>
    <col min="21" max="21" width="8" customWidth="1"/>
    <col min="22" max="22" width="14" customWidth="1"/>
    <col min="23" max="23" width="60" customWidth="1"/>
  </cols>
  <sheetData>
    <row r="1" spans="1:23" x14ac:dyDescent="0.25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5" ht="30" customHeight="1" spans="1:23" x14ac:dyDescent="0.25">
      <c r="A5" s="4" t="s">
        <v>165</v>
      </c>
      <c r="B5" s="4" t="s">
        <v>166</v>
      </c>
      <c r="C5" s="3" t="s">
        <v>167</v>
      </c>
      <c r="D5" s="3" t="s">
        <v>168</v>
      </c>
      <c r="E5" s="3" t="s">
        <v>169</v>
      </c>
      <c r="F5" s="3" t="s">
        <v>170</v>
      </c>
      <c r="G5" s="4" t="s">
        <v>171</v>
      </c>
      <c r="H5" s="3" t="s">
        <v>172</v>
      </c>
      <c r="I5" s="3" t="s">
        <v>173</v>
      </c>
      <c r="J5" s="3" t="s">
        <v>174</v>
      </c>
      <c r="K5" s="3" t="s">
        <v>175</v>
      </c>
      <c r="L5" s="3" t="s">
        <v>176</v>
      </c>
      <c r="M5" s="3" t="s">
        <v>177</v>
      </c>
      <c r="N5" s="3" t="s">
        <v>178</v>
      </c>
      <c r="O5" s="3" t="s">
        <v>179</v>
      </c>
      <c r="P5" s="3" t="s">
        <v>180</v>
      </c>
      <c r="Q5" s="3" t="s">
        <v>181</v>
      </c>
      <c r="R5" s="3" t="s">
        <v>182</v>
      </c>
      <c r="S5" s="3" t="s">
        <v>183</v>
      </c>
      <c r="T5" s="3" t="s">
        <v>184</v>
      </c>
      <c r="U5" s="3" t="s">
        <v>185</v>
      </c>
      <c r="V5" s="3" t="s">
        <v>21</v>
      </c>
      <c r="W5" s="4" t="s">
        <v>138</v>
      </c>
    </row>
    <row r="6" spans="1:23" x14ac:dyDescent="0.25">
      <c r="A6" s="6" t="s">
        <v>186</v>
      </c>
      <c r="B6" s="6" t="s">
        <v>187</v>
      </c>
      <c r="C6" s="8">
        <v>16.2</v>
      </c>
      <c r="D6" s="21">
        <v>150</v>
      </c>
      <c r="E6" s="5" t="s">
        <v>29</v>
      </c>
      <c r="F6" s="21">
        <v>80</v>
      </c>
      <c r="G6" s="6" t="s">
        <v>188</v>
      </c>
      <c r="H6" s="22">
        <v>18</v>
      </c>
      <c r="I6" s="7">
        <v>1350</v>
      </c>
      <c r="J6" s="8">
        <v>1.03</v>
      </c>
      <c r="K6" s="23">
        <v>0.639</v>
      </c>
      <c r="L6" s="8">
        <v>0.8</v>
      </c>
      <c r="M6" s="8">
        <v>3.52</v>
      </c>
      <c r="N6" s="21">
        <v>4</v>
      </c>
      <c r="O6" s="5" t="s">
        <v>189</v>
      </c>
      <c r="P6" s="21">
        <v>170</v>
      </c>
      <c r="Q6" s="21">
        <v>154</v>
      </c>
      <c r="R6" s="8">
        <v>0.8</v>
      </c>
      <c r="S6" s="7">
        <v>72</v>
      </c>
      <c r="T6" s="22">
        <v>4.44</v>
      </c>
      <c r="U6" s="5" t="s">
        <v>42</v>
      </c>
      <c r="V6" s="5" t="s">
        <v>30</v>
      </c>
      <c r="W6" s="6" t="s">
        <v>110</v>
      </c>
    </row>
    <row r="7" spans="1:23" x14ac:dyDescent="0.25">
      <c r="A7" s="6" t="s">
        <v>190</v>
      </c>
      <c r="B7" s="6" t="s">
        <v>191</v>
      </c>
      <c r="C7" s="8">
        <v>10.2</v>
      </c>
      <c r="D7" s="21">
        <v>150</v>
      </c>
      <c r="E7" s="5" t="s">
        <v>29</v>
      </c>
      <c r="F7" s="21">
        <v>80</v>
      </c>
      <c r="G7" s="6" t="s">
        <v>192</v>
      </c>
      <c r="H7" s="22">
        <v>18</v>
      </c>
      <c r="I7" s="7">
        <v>1300</v>
      </c>
      <c r="J7" s="8">
        <v>0.82</v>
      </c>
      <c r="K7" s="23">
        <v>0.532</v>
      </c>
      <c r="L7" s="8">
        <v>0.8</v>
      </c>
      <c r="M7" s="8">
        <v>2.76</v>
      </c>
      <c r="N7" s="21">
        <v>4</v>
      </c>
      <c r="O7" s="5" t="s">
        <v>189</v>
      </c>
      <c r="P7" s="21">
        <v>217</v>
      </c>
      <c r="Q7" s="21">
        <v>209</v>
      </c>
      <c r="R7" s="8">
        <v>0.87</v>
      </c>
      <c r="S7" s="7">
        <v>72</v>
      </c>
      <c r="T7" s="22">
        <v>7.06</v>
      </c>
      <c r="U7" s="5" t="s">
        <v>42</v>
      </c>
      <c r="V7" s="5" t="s">
        <v>30</v>
      </c>
      <c r="W7" s="6" t="s">
        <v>110</v>
      </c>
    </row>
    <row r="8" spans="1:23" x14ac:dyDescent="0.25">
      <c r="A8" s="6" t="s">
        <v>193</v>
      </c>
      <c r="B8" s="6" t="s">
        <v>194</v>
      </c>
      <c r="C8" s="8">
        <v>8.96</v>
      </c>
      <c r="D8" s="21">
        <v>300</v>
      </c>
      <c r="E8" s="5" t="s">
        <v>29</v>
      </c>
      <c r="F8" s="21">
        <v>80</v>
      </c>
      <c r="G8" s="6" t="s">
        <v>195</v>
      </c>
      <c r="H8" s="22">
        <v>12</v>
      </c>
      <c r="I8" s="7">
        <v>840</v>
      </c>
      <c r="J8" s="8">
        <v>0.83</v>
      </c>
      <c r="K8" s="23">
        <v>0.56</v>
      </c>
      <c r="L8" s="8">
        <v>0.8</v>
      </c>
      <c r="M8" s="8">
        <v>7.14</v>
      </c>
      <c r="N8" s="21">
        <v>8</v>
      </c>
      <c r="O8" s="5" t="s">
        <v>196</v>
      </c>
      <c r="P8" s="21">
        <v>336</v>
      </c>
      <c r="Q8" s="21">
        <v>321</v>
      </c>
      <c r="R8" s="8">
        <v>0.87</v>
      </c>
      <c r="S8" s="7">
        <v>96</v>
      </c>
      <c r="T8" s="22">
        <v>10.71</v>
      </c>
      <c r="U8" s="5" t="s">
        <v>49</v>
      </c>
      <c r="V8" s="5" t="s">
        <v>30</v>
      </c>
      <c r="W8" s="6" t="s">
        <v>110</v>
      </c>
    </row>
    <row r="9" spans="1:23" x14ac:dyDescent="0.25">
      <c r="A9" s="6" t="s">
        <v>197</v>
      </c>
      <c r="B9" s="6" t="s">
        <v>198</v>
      </c>
      <c r="C9" s="8">
        <v>8.32</v>
      </c>
      <c r="D9" s="21">
        <v>500</v>
      </c>
      <c r="E9" s="5">
        <v>19</v>
      </c>
      <c r="F9" s="21">
        <v>80</v>
      </c>
      <c r="G9" s="6" t="s">
        <v>199</v>
      </c>
      <c r="H9" s="22">
        <v>17.5</v>
      </c>
      <c r="I9" s="7">
        <v>2100</v>
      </c>
      <c r="J9" s="8">
        <v>0.74</v>
      </c>
      <c r="K9" s="23">
        <v>0.57</v>
      </c>
      <c r="L9" s="8">
        <v>0.8</v>
      </c>
      <c r="M9" s="8">
        <v>4.35</v>
      </c>
      <c r="N9" s="21">
        <v>6</v>
      </c>
      <c r="O9" s="5" t="s">
        <v>200</v>
      </c>
      <c r="P9" s="21">
        <v>690</v>
      </c>
      <c r="Q9" s="21">
        <v>665</v>
      </c>
      <c r="R9" s="8">
        <v>0.87</v>
      </c>
      <c r="S9" s="7">
        <v>105</v>
      </c>
      <c r="T9" s="22">
        <v>12.62</v>
      </c>
      <c r="U9" s="5" t="s">
        <v>42</v>
      </c>
      <c r="V9" s="5" t="s">
        <v>201</v>
      </c>
      <c r="W9" s="6" t="s">
        <v>202</v>
      </c>
    </row>
    <row r="10" spans="1:23" x14ac:dyDescent="0.25">
      <c r="A10" s="9" t="s">
        <v>31</v>
      </c>
      <c r="B10" s="9"/>
      <c r="C10" s="26">
        <f>SUM(C6:C9)</f>
        <v>43.68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27">
        <f>SUM(N6:N9)</f>
        <v>22</v>
      </c>
      <c r="O10" s="9"/>
      <c r="P10" s="9"/>
      <c r="Q10" s="9"/>
      <c r="R10" s="9"/>
      <c r="S10" s="10">
        <f>SUM(S6:S9)</f>
        <v>345</v>
      </c>
      <c r="T10" s="9"/>
      <c r="U10" s="9"/>
      <c r="V10" s="9"/>
      <c r="W10" s="9"/>
    </row>
  </sheetData>
  <autoFilter ref="A5:W9"/>
  <mergeCells count="3">
    <mergeCell ref="A1:W1"/>
    <mergeCell ref="A2:W2"/>
    <mergeCell ref="A3:W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4" width="7" customWidth="1"/>
    <col min="7" max="7" width="7" customWidth="1"/>
    <col min="8" max="8" width="36" customWidth="1"/>
    <col min="9" max="9" width="7" customWidth="1"/>
    <col min="11" max="11" width="7" customWidth="1"/>
    <col min="12" max="12" width="30" customWidth="1"/>
    <col min="13" max="13" width="7" customWidth="1"/>
    <col min="14" max="14" width="6" customWidth="1"/>
    <col min="15" max="15" width="7" customWidth="1"/>
    <col min="16" max="17" width="6" customWidth="1"/>
    <col min="18" max="18" width="7" customWidth="1"/>
    <col min="19" max="19" width="5" customWidth="1"/>
    <col min="22" max="22" width="6" customWidth="1"/>
    <col min="24" max="24" width="8" customWidth="1"/>
    <col min="25" max="25" width="14" customWidth="1"/>
    <col min="26" max="26" width="60" customWidth="1"/>
  </cols>
  <sheetData>
    <row r="1" spans="1:26" x14ac:dyDescent="0.25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30" customHeight="1" spans="1:26" x14ac:dyDescent="0.25">
      <c r="A5" s="4" t="s">
        <v>204</v>
      </c>
      <c r="B5" s="4" t="s">
        <v>205</v>
      </c>
      <c r="C5" s="3" t="s">
        <v>97</v>
      </c>
      <c r="D5" s="3" t="s">
        <v>206</v>
      </c>
      <c r="E5" s="3" t="s">
        <v>167</v>
      </c>
      <c r="F5" s="3" t="s">
        <v>207</v>
      </c>
      <c r="G5" s="3" t="s">
        <v>208</v>
      </c>
      <c r="H5" s="4" t="s">
        <v>209</v>
      </c>
      <c r="I5" s="3" t="s">
        <v>8</v>
      </c>
      <c r="J5" s="3" t="s">
        <v>173</v>
      </c>
      <c r="K5" s="3" t="s">
        <v>210</v>
      </c>
      <c r="L5" s="4" t="s">
        <v>179</v>
      </c>
      <c r="M5" s="3" t="s">
        <v>211</v>
      </c>
      <c r="N5" s="3" t="s">
        <v>212</v>
      </c>
      <c r="O5" s="3" t="s">
        <v>213</v>
      </c>
      <c r="P5" s="3" t="s">
        <v>214</v>
      </c>
      <c r="Q5" s="3" t="s">
        <v>215</v>
      </c>
      <c r="R5" s="3" t="s">
        <v>177</v>
      </c>
      <c r="S5" s="3" t="s">
        <v>178</v>
      </c>
      <c r="T5" s="3" t="s">
        <v>216</v>
      </c>
      <c r="U5" s="3" t="s">
        <v>181</v>
      </c>
      <c r="V5" s="3" t="s">
        <v>217</v>
      </c>
      <c r="W5" s="3" t="s">
        <v>183</v>
      </c>
      <c r="X5" s="3" t="s">
        <v>185</v>
      </c>
      <c r="Y5" s="3" t="s">
        <v>21</v>
      </c>
      <c r="Z5" s="4" t="s">
        <v>138</v>
      </c>
    </row>
    <row r="6" spans="1:26" x14ac:dyDescent="0.25">
      <c r="A6" s="6" t="s">
        <v>218</v>
      </c>
      <c r="B6" s="6" t="s">
        <v>219</v>
      </c>
      <c r="C6" s="22">
        <v>30</v>
      </c>
      <c r="D6" s="22">
        <v>18</v>
      </c>
      <c r="E6" s="7">
        <v>540</v>
      </c>
      <c r="F6" s="21">
        <v>10</v>
      </c>
      <c r="G6" s="8">
        <v>0.25</v>
      </c>
      <c r="H6" s="6" t="s">
        <v>220</v>
      </c>
      <c r="I6" s="21">
        <v>50</v>
      </c>
      <c r="J6" s="7">
        <v>5000</v>
      </c>
      <c r="K6" s="21">
        <v>120</v>
      </c>
      <c r="L6" s="6" t="s">
        <v>221</v>
      </c>
      <c r="M6" s="21">
        <v>4</v>
      </c>
      <c r="N6" s="22">
        <v>7</v>
      </c>
      <c r="O6" s="21">
        <v>40</v>
      </c>
      <c r="P6" s="8">
        <v>0.45</v>
      </c>
      <c r="Q6" s="8">
        <v>0.8</v>
      </c>
      <c r="R6" s="8">
        <v>3</v>
      </c>
      <c r="S6" s="21">
        <v>4</v>
      </c>
      <c r="T6" s="21">
        <v>14</v>
      </c>
      <c r="U6" s="21">
        <v>7</v>
      </c>
      <c r="V6" s="8">
        <v>0.51</v>
      </c>
      <c r="W6" s="7">
        <v>200</v>
      </c>
      <c r="X6" s="5" t="s">
        <v>90</v>
      </c>
      <c r="Y6" s="5" t="s">
        <v>30</v>
      </c>
      <c r="Z6" s="6" t="s">
        <v>110</v>
      </c>
    </row>
  </sheetData>
  <autoFilter ref="A5:Z6"/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8" customWidth="1"/>
    <col min="4" max="4" width="13" customWidth="1"/>
    <col min="5" max="5" width="18" customWidth="1"/>
    <col min="6" max="6" width="14" customWidth="1"/>
    <col min="7" max="7" width="22" customWidth="1"/>
    <col min="9" max="15" width="8" customWidth="1"/>
    <col min="18" max="18" width="6" customWidth="1"/>
    <col min="20" max="20" width="10" customWidth="1"/>
    <col min="21" max="21" width="34" customWidth="1"/>
    <col min="22" max="22" width="40" customWidth="1"/>
    <col min="23" max="23" width="18" customWidth="1"/>
    <col min="24" max="24" width="10" customWidth="1"/>
    <col min="25" max="25" width="12" customWidth="1"/>
    <col min="26" max="26" width="14" customWidth="1"/>
    <col min="27" max="27" width="60" customWidth="1"/>
  </cols>
  <sheetData>
    <row r="1" spans="1:27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5" ht="30" customHeight="1" spans="1:27" x14ac:dyDescent="0.25">
      <c r="A5" s="4" t="s">
        <v>223</v>
      </c>
      <c r="B5" s="4" t="s">
        <v>224</v>
      </c>
      <c r="C5" s="4" t="s">
        <v>225</v>
      </c>
      <c r="D5" s="4" t="s">
        <v>226</v>
      </c>
      <c r="E5" s="4" t="s">
        <v>227</v>
      </c>
      <c r="F5" s="4" t="s">
        <v>228</v>
      </c>
      <c r="G5" s="4" t="s">
        <v>229</v>
      </c>
      <c r="H5" s="3" t="s">
        <v>230</v>
      </c>
      <c r="I5" s="3" t="s">
        <v>231</v>
      </c>
      <c r="J5" s="3" t="s">
        <v>232</v>
      </c>
      <c r="K5" s="3" t="s">
        <v>233</v>
      </c>
      <c r="L5" s="3" t="s">
        <v>234</v>
      </c>
      <c r="M5" s="3" t="s">
        <v>235</v>
      </c>
      <c r="N5" s="3" t="s">
        <v>236</v>
      </c>
      <c r="O5" s="3" t="s">
        <v>237</v>
      </c>
      <c r="P5" s="3" t="s">
        <v>238</v>
      </c>
      <c r="Q5" s="3" t="s">
        <v>239</v>
      </c>
      <c r="R5" s="3" t="s">
        <v>5</v>
      </c>
      <c r="S5" s="3" t="s">
        <v>240</v>
      </c>
      <c r="T5" s="3" t="s">
        <v>241</v>
      </c>
      <c r="U5" s="4" t="s">
        <v>242</v>
      </c>
      <c r="V5" s="4" t="s">
        <v>243</v>
      </c>
      <c r="W5" s="4" t="s">
        <v>244</v>
      </c>
      <c r="X5" s="3" t="s">
        <v>245</v>
      </c>
      <c r="Y5" s="3" t="s">
        <v>246</v>
      </c>
      <c r="Z5" s="3" t="s">
        <v>21</v>
      </c>
      <c r="AA5" s="4" t="s">
        <v>138</v>
      </c>
    </row>
    <row r="6" spans="1:27" x14ac:dyDescent="0.25">
      <c r="A6" s="6" t="s">
        <v>247</v>
      </c>
      <c r="B6" s="6" t="s">
        <v>248</v>
      </c>
      <c r="C6" s="6" t="s">
        <v>249</v>
      </c>
      <c r="D6" s="6" t="s">
        <v>250</v>
      </c>
      <c r="E6" s="6" t="s">
        <v>251</v>
      </c>
      <c r="F6" s="6" t="s">
        <v>252</v>
      </c>
      <c r="G6" s="6" t="s">
        <v>253</v>
      </c>
      <c r="H6" s="23">
        <v>23.688</v>
      </c>
      <c r="I6" s="23">
        <v>3.636</v>
      </c>
      <c r="J6" s="23">
        <v>9.75</v>
      </c>
      <c r="K6" s="23">
        <v>1.398</v>
      </c>
      <c r="L6" s="23">
        <v>1.8</v>
      </c>
      <c r="M6" s="23">
        <v>1.26</v>
      </c>
      <c r="N6" s="23">
        <v>0.655</v>
      </c>
      <c r="O6" s="23">
        <v>0</v>
      </c>
      <c r="P6" s="23">
        <f>SUM(I6:O6)</f>
        <v>18.5</v>
      </c>
      <c r="Q6" s="8">
        <f>P6/0.92</f>
        <v>20.11</v>
      </c>
      <c r="R6" s="5" t="s">
        <v>254</v>
      </c>
      <c r="S6" s="5" t="s">
        <v>255</v>
      </c>
      <c r="T6" s="5" t="s">
        <v>256</v>
      </c>
      <c r="U6" s="6" t="s">
        <v>257</v>
      </c>
      <c r="V6" s="6" t="s">
        <v>258</v>
      </c>
      <c r="W6" s="6" t="s">
        <v>259</v>
      </c>
      <c r="X6" s="5" t="s">
        <v>260</v>
      </c>
      <c r="Y6" s="5" t="s">
        <v>261</v>
      </c>
      <c r="Z6" s="5" t="s">
        <v>30</v>
      </c>
      <c r="AA6" s="6" t="s">
        <v>110</v>
      </c>
    </row>
    <row r="9" spans="1:27" x14ac:dyDescent="0.25">
      <c r="A9" s="28" t="s">
        <v>262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</sheetData>
  <autoFilter ref="A5:AA6"/>
  <mergeCells count="4">
    <mergeCell ref="A1:AA1"/>
    <mergeCell ref="A2:AA2"/>
    <mergeCell ref="A3:AA3"/>
    <mergeCell ref="A9:AA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4" width="44" customWidth="1"/>
    <col min="5" max="5" width="6" customWidth="1"/>
    <col min="6" max="6" width="22" customWidth="1"/>
    <col min="7" max="8" width="10" customWidth="1"/>
  </cols>
  <sheetData>
    <row r="1" spans="1:8" x14ac:dyDescent="0.25">
      <c r="A1" s="1" t="s">
        <v>263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30" customHeight="1" spans="1:8" x14ac:dyDescent="0.25">
      <c r="A5" s="4" t="s">
        <v>223</v>
      </c>
      <c r="B5" s="3" t="s">
        <v>264</v>
      </c>
      <c r="C5" s="4" t="s">
        <v>265</v>
      </c>
      <c r="D5" s="4" t="s">
        <v>4</v>
      </c>
      <c r="E5" s="3" t="s">
        <v>266</v>
      </c>
      <c r="F5" s="4" t="s">
        <v>267</v>
      </c>
      <c r="G5" s="3" t="s">
        <v>268</v>
      </c>
      <c r="H5" s="3" t="s">
        <v>269</v>
      </c>
    </row>
    <row r="6" spans="1:8" x14ac:dyDescent="0.25">
      <c r="A6" s="6" t="s">
        <v>247</v>
      </c>
      <c r="B6" s="5" t="s">
        <v>270</v>
      </c>
      <c r="C6" s="6" t="s">
        <v>271</v>
      </c>
      <c r="D6" s="6" t="s">
        <v>272</v>
      </c>
      <c r="E6" s="21">
        <v>1</v>
      </c>
      <c r="F6" s="6" t="s">
        <v>273</v>
      </c>
      <c r="G6" s="23">
        <v>1.49</v>
      </c>
      <c r="H6" s="23">
        <f>E6*G6</f>
        <v>1.49</v>
      </c>
    </row>
    <row r="7" spans="1:8" x14ac:dyDescent="0.25">
      <c r="A7" s="6" t="s">
        <v>247</v>
      </c>
      <c r="B7" s="5" t="s">
        <v>270</v>
      </c>
      <c r="C7" s="6" t="s">
        <v>271</v>
      </c>
      <c r="D7" s="6" t="s">
        <v>274</v>
      </c>
      <c r="E7" s="21">
        <v>1</v>
      </c>
      <c r="F7" s="6" t="s">
        <v>275</v>
      </c>
      <c r="G7" s="23">
        <v>4.08</v>
      </c>
      <c r="H7" s="23">
        <f>E7*G7</f>
        <v>4.08</v>
      </c>
    </row>
    <row r="8" spans="1:8" x14ac:dyDescent="0.25">
      <c r="A8" s="6" t="s">
        <v>247</v>
      </c>
      <c r="B8" s="5" t="s">
        <v>276</v>
      </c>
      <c r="C8" s="6" t="s">
        <v>277</v>
      </c>
      <c r="D8" s="6" t="s">
        <v>278</v>
      </c>
      <c r="E8" s="21">
        <v>1</v>
      </c>
      <c r="F8" s="6" t="s">
        <v>279</v>
      </c>
      <c r="G8" s="23">
        <v>5.5</v>
      </c>
      <c r="H8" s="23">
        <f>E8*G8</f>
        <v>5.5</v>
      </c>
    </row>
    <row r="9" spans="1:8" x14ac:dyDescent="0.25">
      <c r="A9" s="6" t="s">
        <v>247</v>
      </c>
      <c r="B9" s="5" t="s">
        <v>276</v>
      </c>
      <c r="C9" s="6" t="s">
        <v>277</v>
      </c>
      <c r="D9" s="6" t="s">
        <v>280</v>
      </c>
      <c r="E9" s="21">
        <v>1</v>
      </c>
      <c r="F9" s="6" t="s">
        <v>281</v>
      </c>
      <c r="G9" s="23">
        <v>7.5</v>
      </c>
      <c r="H9" s="23">
        <f>E9*G9</f>
        <v>7.5</v>
      </c>
    </row>
    <row r="10" spans="1:8" x14ac:dyDescent="0.25">
      <c r="A10" s="6" t="s">
        <v>247</v>
      </c>
      <c r="B10" s="5" t="s">
        <v>282</v>
      </c>
      <c r="C10" s="6" t="s">
        <v>283</v>
      </c>
      <c r="D10" s="6" t="s">
        <v>284</v>
      </c>
      <c r="E10" s="21">
        <v>1</v>
      </c>
      <c r="F10" s="6" t="s">
        <v>285</v>
      </c>
      <c r="G10" s="23">
        <v>1.26</v>
      </c>
      <c r="H10" s="23">
        <f>E10*G10</f>
        <v>1.26</v>
      </c>
    </row>
    <row r="11" spans="1:8" x14ac:dyDescent="0.25">
      <c r="A11" s="6" t="s">
        <v>247</v>
      </c>
      <c r="B11" s="5" t="s">
        <v>286</v>
      </c>
      <c r="C11" s="6" t="s">
        <v>287</v>
      </c>
      <c r="D11" s="6" t="s">
        <v>288</v>
      </c>
      <c r="E11" s="21">
        <v>1</v>
      </c>
      <c r="F11" s="6" t="s">
        <v>289</v>
      </c>
      <c r="G11" s="23">
        <v>1.8</v>
      </c>
      <c r="H11" s="23">
        <f>E11*G11</f>
        <v>1.8</v>
      </c>
    </row>
    <row r="12" spans="1:8" x14ac:dyDescent="0.25">
      <c r="A12" s="6" t="s">
        <v>247</v>
      </c>
      <c r="B12" s="5" t="s">
        <v>290</v>
      </c>
      <c r="C12" s="6" t="s">
        <v>291</v>
      </c>
      <c r="D12" s="6" t="s">
        <v>292</v>
      </c>
      <c r="E12" s="21">
        <v>1</v>
      </c>
      <c r="F12" s="6" t="s">
        <v>293</v>
      </c>
      <c r="G12" s="23">
        <v>1.398</v>
      </c>
      <c r="H12" s="23">
        <f>E12*G12</f>
        <v>1.398</v>
      </c>
    </row>
    <row r="13" spans="1:8" x14ac:dyDescent="0.25">
      <c r="A13" s="6" t="s">
        <v>247</v>
      </c>
      <c r="B13" s="5" t="s">
        <v>294</v>
      </c>
      <c r="C13" s="6" t="s">
        <v>295</v>
      </c>
      <c r="D13" s="6" t="s">
        <v>296</v>
      </c>
      <c r="E13" s="21">
        <v>1</v>
      </c>
      <c r="F13" s="6" t="s">
        <v>297</v>
      </c>
      <c r="G13" s="23">
        <v>0.66</v>
      </c>
      <c r="H13" s="23">
        <f>E13*G13</f>
        <v>0.66</v>
      </c>
    </row>
  </sheetData>
  <autoFilter ref="A5:H13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4" max="6" width="11" customWidth="1"/>
    <col min="7" max="7" width="7" customWidth="1"/>
    <col min="8" max="10" width="8" customWidth="1"/>
    <col min="11" max="11" width="12" customWidth="1"/>
    <col min="12" max="12" width="7" customWidth="1"/>
    <col min="13" max="13" width="10" customWidth="1"/>
    <col min="14" max="14" width="22" customWidth="1"/>
    <col min="15" max="15" width="11" customWidth="1"/>
    <col min="16" max="16" width="50" customWidth="1"/>
  </cols>
  <sheetData>
    <row r="1" spans="1:16" x14ac:dyDescent="0.25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30" customHeight="1" spans="1:16" x14ac:dyDescent="0.25">
      <c r="A5" s="4" t="s">
        <v>165</v>
      </c>
      <c r="B5" s="3" t="s">
        <v>167</v>
      </c>
      <c r="C5" s="3" t="s">
        <v>299</v>
      </c>
      <c r="D5" s="3" t="s">
        <v>300</v>
      </c>
      <c r="E5" s="3" t="s">
        <v>301</v>
      </c>
      <c r="F5" s="3" t="s">
        <v>302</v>
      </c>
      <c r="G5" s="3" t="s">
        <v>303</v>
      </c>
      <c r="H5" s="3" t="s">
        <v>304</v>
      </c>
      <c r="I5" s="3" t="s">
        <v>184</v>
      </c>
      <c r="J5" s="3" t="s">
        <v>305</v>
      </c>
      <c r="K5" s="3" t="s">
        <v>306</v>
      </c>
      <c r="L5" s="3" t="s">
        <v>307</v>
      </c>
      <c r="M5" s="3" t="s">
        <v>308</v>
      </c>
      <c r="N5" s="4" t="s">
        <v>309</v>
      </c>
      <c r="O5" s="3" t="s">
        <v>310</v>
      </c>
      <c r="P5" s="4" t="s">
        <v>138</v>
      </c>
    </row>
    <row r="6" spans="1:16" x14ac:dyDescent="0.25">
      <c r="A6" s="6" t="s">
        <v>311</v>
      </c>
      <c r="B6" s="8">
        <v>10.2</v>
      </c>
      <c r="C6" s="21">
        <v>2</v>
      </c>
      <c r="D6" s="7">
        <v>2303</v>
      </c>
      <c r="E6" s="7">
        <v>63</v>
      </c>
      <c r="F6" s="7">
        <f>D6+E6</f>
        <v>2366</v>
      </c>
      <c r="G6" s="8">
        <v>0.97</v>
      </c>
      <c r="H6" s="21">
        <v>17</v>
      </c>
      <c r="I6" s="21">
        <v>232</v>
      </c>
      <c r="J6" s="24">
        <v>0.1</v>
      </c>
      <c r="K6" s="7">
        <f>F6*(1+J6)*3.412142</f>
        <v>8879</v>
      </c>
      <c r="L6" s="8">
        <f>F6*(1+J6)/3516.85</f>
        <v>0.74</v>
      </c>
      <c r="M6" s="22">
        <v>0</v>
      </c>
      <c r="N6" s="6" t="s">
        <v>312</v>
      </c>
      <c r="O6" s="7">
        <v>824</v>
      </c>
      <c r="P6" s="6" t="s">
        <v>110</v>
      </c>
    </row>
    <row r="7" spans="1:16" x14ac:dyDescent="0.25">
      <c r="A7" s="6" t="s">
        <v>186</v>
      </c>
      <c r="B7" s="8">
        <v>16.2</v>
      </c>
      <c r="C7" s="21">
        <v>4</v>
      </c>
      <c r="D7" s="7">
        <v>2456</v>
      </c>
      <c r="E7" s="7">
        <v>280</v>
      </c>
      <c r="F7" s="7">
        <f>D7+E7</f>
        <v>2736</v>
      </c>
      <c r="G7" s="8">
        <v>0.9</v>
      </c>
      <c r="H7" s="21">
        <v>15</v>
      </c>
      <c r="I7" s="21">
        <v>169</v>
      </c>
      <c r="J7" s="24">
        <v>0.1</v>
      </c>
      <c r="K7" s="7">
        <f>F7*(1+J7)*3.412142</f>
        <v>10270</v>
      </c>
      <c r="L7" s="8">
        <f>F7*(1+J7)/3516.85</f>
        <v>0.86</v>
      </c>
      <c r="M7" s="22">
        <v>0</v>
      </c>
      <c r="N7" s="6" t="s">
        <v>313</v>
      </c>
      <c r="O7" s="7">
        <v>1099</v>
      </c>
      <c r="P7" s="6" t="s">
        <v>110</v>
      </c>
    </row>
    <row r="8" spans="1:16" x14ac:dyDescent="0.25">
      <c r="A8" s="6" t="s">
        <v>197</v>
      </c>
      <c r="B8" s="8">
        <v>8.32</v>
      </c>
      <c r="C8" s="21">
        <v>1</v>
      </c>
      <c r="D8" s="7">
        <v>2096</v>
      </c>
      <c r="E8" s="7">
        <v>137</v>
      </c>
      <c r="F8" s="7">
        <f>D8+E8</f>
        <v>2234</v>
      </c>
      <c r="G8" s="8">
        <v>0.94</v>
      </c>
      <c r="H8" s="21">
        <v>16</v>
      </c>
      <c r="I8" s="21">
        <v>268</v>
      </c>
      <c r="J8" s="24">
        <v>0.1</v>
      </c>
      <c r="K8" s="7">
        <f>F8*(1+J8)*3.412142</f>
        <v>8383</v>
      </c>
      <c r="L8" s="8">
        <f>F8*(1+J8)/3516.85</f>
        <v>0.7</v>
      </c>
      <c r="M8" s="22">
        <v>5</v>
      </c>
      <c r="N8" s="6" t="s">
        <v>312</v>
      </c>
      <c r="O8" s="7">
        <v>824</v>
      </c>
      <c r="P8" s="6" t="s">
        <v>110</v>
      </c>
    </row>
    <row r="9" spans="1:16" x14ac:dyDescent="0.25">
      <c r="A9" s="9" t="s">
        <v>314</v>
      </c>
      <c r="B9" s="26">
        <f>SUM(B6:B8)</f>
      </c>
      <c r="C9" s="9"/>
      <c r="D9" s="10">
        <f>SUM(D6:D8)</f>
      </c>
      <c r="E9" s="10">
        <f>SUM(E6:E8)</f>
      </c>
      <c r="F9" s="10">
        <f>SUM(F6:F8)</f>
      </c>
      <c r="G9" s="9"/>
      <c r="H9" s="9"/>
      <c r="I9" s="9"/>
      <c r="J9" s="9"/>
      <c r="K9" s="10">
        <f>SUM(K6:K8)</f>
      </c>
      <c r="L9" s="26">
        <f>SUM(L6:L8)</f>
      </c>
      <c r="M9" s="9"/>
      <c r="N9" s="9"/>
      <c r="O9" s="10">
        <f>SUM(O6:O8)</f>
      </c>
      <c r="P9" s="9"/>
    </row>
  </sheetData>
  <autoFilter ref="A5:P8"/>
  <mergeCells count="3">
    <mergeCell ref="A1:P1"/>
    <mergeCell ref="A2:P2"/>
    <mergeCell ref="A3:P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5" width="16" customWidth="1"/>
    <col min="6" max="6" width="14" customWidth="1"/>
  </cols>
  <sheetData>
    <row r="1" spans="1:6" x14ac:dyDescent="0.25">
      <c r="A1" s="1" t="s">
        <v>315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30" customHeight="1" spans="1:6" x14ac:dyDescent="0.25">
      <c r="A5" s="3" t="s">
        <v>316</v>
      </c>
      <c r="B5" s="3" t="s">
        <v>317</v>
      </c>
      <c r="C5" s="3" t="s">
        <v>318</v>
      </c>
      <c r="D5" s="3" t="s">
        <v>319</v>
      </c>
      <c r="E5" s="3" t="s">
        <v>320</v>
      </c>
      <c r="F5" s="3" t="s">
        <v>321</v>
      </c>
    </row>
    <row r="6" spans="1:6" x14ac:dyDescent="0.25">
      <c r="A6" s="21">
        <v>1</v>
      </c>
      <c r="B6" s="22">
        <v>24.4</v>
      </c>
      <c r="C6" s="7">
        <v>834</v>
      </c>
      <c r="D6" s="7">
        <v>603</v>
      </c>
      <c r="E6" s="7">
        <v>259</v>
      </c>
      <c r="F6" s="7">
        <f>SUM(C6:E6)</f>
        <v>1696</v>
      </c>
    </row>
    <row r="7" spans="1:6" x14ac:dyDescent="0.25">
      <c r="A7" s="21">
        <v>2</v>
      </c>
      <c r="B7" s="22">
        <v>23.9</v>
      </c>
      <c r="C7" s="7">
        <v>752</v>
      </c>
      <c r="D7" s="7">
        <v>497</v>
      </c>
      <c r="E7" s="7">
        <v>205</v>
      </c>
      <c r="F7" s="7">
        <f>SUM(C7:E7)</f>
        <v>1454</v>
      </c>
    </row>
    <row r="8" spans="1:6" x14ac:dyDescent="0.25">
      <c r="A8" s="21">
        <v>3</v>
      </c>
      <c r="B8" s="22">
        <v>23.4</v>
      </c>
      <c r="C8" s="7">
        <v>682</v>
      </c>
      <c r="D8" s="7">
        <v>402</v>
      </c>
      <c r="E8" s="7">
        <v>158</v>
      </c>
      <c r="F8" s="7">
        <f>SUM(C8:E8)</f>
        <v>1243</v>
      </c>
    </row>
    <row r="9" spans="1:6" x14ac:dyDescent="0.25">
      <c r="A9" s="21">
        <v>4</v>
      </c>
      <c r="B9" s="22">
        <v>23.1</v>
      </c>
      <c r="C9" s="7">
        <v>622</v>
      </c>
      <c r="D9" s="7">
        <v>320</v>
      </c>
      <c r="E9" s="7">
        <v>119</v>
      </c>
      <c r="F9" s="7">
        <f>SUM(C9:E9)</f>
        <v>1061</v>
      </c>
    </row>
    <row r="10" spans="1:6" x14ac:dyDescent="0.25">
      <c r="A10" s="21">
        <v>5</v>
      </c>
      <c r="B10" s="22">
        <v>23</v>
      </c>
      <c r="C10" s="7">
        <v>576</v>
      </c>
      <c r="D10" s="7">
        <v>259</v>
      </c>
      <c r="E10" s="7">
        <v>87</v>
      </c>
      <c r="F10" s="7">
        <f>SUM(C10:E10)</f>
        <v>922</v>
      </c>
    </row>
    <row r="11" spans="1:6" x14ac:dyDescent="0.25">
      <c r="A11" s="21">
        <v>6</v>
      </c>
      <c r="B11" s="22">
        <v>23.2</v>
      </c>
      <c r="C11" s="7">
        <v>589</v>
      </c>
      <c r="D11" s="7">
        <v>313</v>
      </c>
      <c r="E11" s="7">
        <v>86</v>
      </c>
      <c r="F11" s="7">
        <f>SUM(C11:E11)</f>
        <v>988</v>
      </c>
    </row>
    <row r="12" spans="1:6" x14ac:dyDescent="0.25">
      <c r="A12" s="21">
        <v>7</v>
      </c>
      <c r="B12" s="22">
        <v>23.8</v>
      </c>
      <c r="C12" s="7">
        <v>680</v>
      </c>
      <c r="D12" s="7">
        <v>527</v>
      </c>
      <c r="E12" s="7">
        <v>130</v>
      </c>
      <c r="F12" s="7">
        <f>SUM(C12:E12)</f>
        <v>1337</v>
      </c>
    </row>
    <row r="13" spans="1:6" x14ac:dyDescent="0.25">
      <c r="A13" s="21">
        <v>8</v>
      </c>
      <c r="B13" s="22">
        <v>24.8</v>
      </c>
      <c r="C13" s="7">
        <v>805</v>
      </c>
      <c r="D13" s="7">
        <v>815</v>
      </c>
      <c r="E13" s="7">
        <v>199</v>
      </c>
      <c r="F13" s="7">
        <f>SUM(C13:E13)</f>
        <v>1819</v>
      </c>
    </row>
    <row r="14" spans="1:6" x14ac:dyDescent="0.25">
      <c r="A14" s="21">
        <v>9</v>
      </c>
      <c r="B14" s="22">
        <v>26.2</v>
      </c>
      <c r="C14" s="7">
        <v>543</v>
      </c>
      <c r="D14" s="7">
        <v>1112</v>
      </c>
      <c r="E14" s="7">
        <v>822</v>
      </c>
      <c r="F14" s="7">
        <f>SUM(C14:E14)</f>
        <v>2477</v>
      </c>
    </row>
    <row r="15" spans="1:6" x14ac:dyDescent="0.25">
      <c r="A15" s="21">
        <v>10</v>
      </c>
      <c r="B15" s="22">
        <v>27.8</v>
      </c>
      <c r="C15" s="7">
        <v>706</v>
      </c>
      <c r="D15" s="7">
        <v>1384</v>
      </c>
      <c r="E15" s="7">
        <v>942</v>
      </c>
      <c r="F15" s="7">
        <f>SUM(C15:E15)</f>
        <v>3032</v>
      </c>
    </row>
    <row r="16" spans="1:6" x14ac:dyDescent="0.25">
      <c r="A16" s="21">
        <v>11</v>
      </c>
      <c r="B16" s="22">
        <v>29.7</v>
      </c>
      <c r="C16" s="7">
        <v>877</v>
      </c>
      <c r="D16" s="7">
        <v>1616</v>
      </c>
      <c r="E16" s="7">
        <v>1072</v>
      </c>
      <c r="F16" s="7">
        <f>SUM(C16:E16)</f>
        <v>3565</v>
      </c>
    </row>
    <row r="17" spans="1:6" x14ac:dyDescent="0.25">
      <c r="A17" s="21">
        <v>12</v>
      </c>
      <c r="B17" s="22">
        <v>31.5</v>
      </c>
      <c r="C17" s="7">
        <v>1057</v>
      </c>
      <c r="D17" s="7">
        <v>1796</v>
      </c>
      <c r="E17" s="7">
        <v>1208</v>
      </c>
      <c r="F17" s="7">
        <f>SUM(C17:E17)</f>
        <v>4061</v>
      </c>
    </row>
    <row r="18" spans="1:6" x14ac:dyDescent="0.25">
      <c r="A18" s="21">
        <v>13</v>
      </c>
      <c r="B18" s="22">
        <v>32.8</v>
      </c>
      <c r="C18" s="7">
        <v>1375</v>
      </c>
      <c r="D18" s="7">
        <v>2577</v>
      </c>
      <c r="E18" s="7">
        <v>1456</v>
      </c>
      <c r="F18" s="7">
        <f>SUM(C18:E18)</f>
        <v>5408</v>
      </c>
    </row>
    <row r="19" spans="1:6" x14ac:dyDescent="0.25">
      <c r="A19" s="21">
        <v>14</v>
      </c>
      <c r="B19" s="22">
        <v>33.7</v>
      </c>
      <c r="C19" s="7">
        <v>1798</v>
      </c>
      <c r="D19" s="7">
        <v>2683</v>
      </c>
      <c r="E19" s="7">
        <v>1791</v>
      </c>
      <c r="F19" s="7">
        <f>SUM(C19:E19)</f>
        <v>6272</v>
      </c>
    </row>
    <row r="20" spans="1:6" x14ac:dyDescent="0.25">
      <c r="A20" s="21">
        <v>15</v>
      </c>
      <c r="B20" s="22">
        <v>34</v>
      </c>
      <c r="C20" s="7">
        <v>2147</v>
      </c>
      <c r="D20" s="7">
        <v>2736</v>
      </c>
      <c r="E20" s="7">
        <v>2067</v>
      </c>
      <c r="F20" s="7">
        <f>SUM(C20:E20)</f>
        <v>6950</v>
      </c>
    </row>
    <row r="21" spans="1:6" x14ac:dyDescent="0.25">
      <c r="A21" s="21">
        <v>16</v>
      </c>
      <c r="B21" s="22">
        <v>33.7</v>
      </c>
      <c r="C21" s="7">
        <v>2361</v>
      </c>
      <c r="D21" s="7">
        <v>2716</v>
      </c>
      <c r="E21" s="7">
        <v>2234</v>
      </c>
      <c r="F21" s="7">
        <f>SUM(C21:E21)</f>
        <v>7311</v>
      </c>
    </row>
    <row r="22" spans="1:6" x14ac:dyDescent="0.25">
      <c r="A22" s="21">
        <v>17</v>
      </c>
      <c r="B22" s="22">
        <v>32.9</v>
      </c>
      <c r="C22" s="7">
        <v>2366</v>
      </c>
      <c r="D22" s="7">
        <v>2612</v>
      </c>
      <c r="E22" s="7">
        <v>2232</v>
      </c>
      <c r="F22" s="7">
        <f>SUM(C22:E22)</f>
        <v>7209</v>
      </c>
    </row>
    <row r="23" spans="1:6" x14ac:dyDescent="0.25">
      <c r="A23" s="21">
        <v>18</v>
      </c>
      <c r="B23" s="22">
        <v>31.7</v>
      </c>
      <c r="C23" s="7">
        <v>1914</v>
      </c>
      <c r="D23" s="7">
        <v>2415</v>
      </c>
      <c r="E23" s="7">
        <v>1871</v>
      </c>
      <c r="F23" s="7">
        <f>SUM(C23:E23)</f>
        <v>6200</v>
      </c>
    </row>
    <row r="24" spans="1:6" x14ac:dyDescent="0.25">
      <c r="A24" s="21">
        <v>19</v>
      </c>
      <c r="B24" s="22">
        <v>30.3</v>
      </c>
      <c r="C24" s="7">
        <v>1789</v>
      </c>
      <c r="D24" s="7">
        <v>2196</v>
      </c>
      <c r="E24" s="7">
        <v>900</v>
      </c>
      <c r="F24" s="7">
        <f>SUM(C24:E24)</f>
        <v>4886</v>
      </c>
    </row>
    <row r="25" spans="1:6" x14ac:dyDescent="0.25">
      <c r="A25" s="21">
        <v>20</v>
      </c>
      <c r="B25" s="22">
        <v>28.8</v>
      </c>
      <c r="C25" s="7">
        <v>1554</v>
      </c>
      <c r="D25" s="7">
        <v>2001</v>
      </c>
      <c r="E25" s="7">
        <v>738</v>
      </c>
      <c r="F25" s="7">
        <f>SUM(C25:E25)</f>
        <v>4293</v>
      </c>
    </row>
    <row r="26" spans="1:6" x14ac:dyDescent="0.25">
      <c r="A26" s="21">
        <v>21</v>
      </c>
      <c r="B26" s="22">
        <v>27.6</v>
      </c>
      <c r="C26" s="7">
        <v>1351</v>
      </c>
      <c r="D26" s="7">
        <v>1818</v>
      </c>
      <c r="E26" s="7">
        <v>600</v>
      </c>
      <c r="F26" s="7">
        <f>SUM(C26:E26)</f>
        <v>3769</v>
      </c>
    </row>
    <row r="27" spans="1:6" x14ac:dyDescent="0.25">
      <c r="A27" s="21">
        <v>22</v>
      </c>
      <c r="B27" s="22">
        <v>26.5</v>
      </c>
      <c r="C27" s="7">
        <v>1182</v>
      </c>
      <c r="D27" s="7">
        <v>1648</v>
      </c>
      <c r="E27" s="7">
        <v>488</v>
      </c>
      <c r="F27" s="7">
        <f>SUM(C27:E27)</f>
        <v>3318</v>
      </c>
    </row>
    <row r="28" spans="1:6" x14ac:dyDescent="0.25">
      <c r="A28" s="21">
        <v>23</v>
      </c>
      <c r="B28" s="22">
        <v>25.6</v>
      </c>
      <c r="C28" s="7">
        <v>1043</v>
      </c>
      <c r="D28" s="7">
        <v>1497</v>
      </c>
      <c r="E28" s="7">
        <v>396</v>
      </c>
      <c r="F28" s="7">
        <f>SUM(C28:E28)</f>
        <v>2936</v>
      </c>
    </row>
    <row r="29" spans="1:6" x14ac:dyDescent="0.25">
      <c r="A29" s="21">
        <v>24</v>
      </c>
      <c r="B29" s="22">
        <v>25</v>
      </c>
      <c r="C29" s="7">
        <v>929</v>
      </c>
      <c r="D29" s="7">
        <v>721</v>
      </c>
      <c r="E29" s="7">
        <v>321</v>
      </c>
      <c r="F29" s="7">
        <f>SUM(C29:E29)</f>
        <v>1971</v>
      </c>
    </row>
  </sheetData>
  <autoFilter ref="A5:F29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62" customWidth="1"/>
    <col min="4" max="4" width="30" customWidth="1"/>
    <col min="5" max="5" width="18" customWidth="1"/>
    <col min="6" max="6" width="7" customWidth="1"/>
    <col min="8" max="8" width="22" customWidth="1"/>
  </cols>
  <sheetData>
    <row r="1" spans="1:8" x14ac:dyDescent="0.25">
      <c r="A1" s="1" t="s">
        <v>322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30" customHeight="1" spans="1:8" x14ac:dyDescent="0.25">
      <c r="A5" s="3" t="s">
        <v>323</v>
      </c>
      <c r="B5" s="4" t="s">
        <v>240</v>
      </c>
      <c r="C5" s="4" t="s">
        <v>324</v>
      </c>
      <c r="D5" s="4" t="s">
        <v>325</v>
      </c>
      <c r="E5" s="4" t="s">
        <v>326</v>
      </c>
      <c r="F5" s="3" t="s">
        <v>327</v>
      </c>
      <c r="G5" s="3" t="s">
        <v>266</v>
      </c>
      <c r="H5" s="4" t="s">
        <v>328</v>
      </c>
    </row>
    <row r="6" spans="1:8" x14ac:dyDescent="0.25">
      <c r="A6" s="5">
        <v>1</v>
      </c>
      <c r="B6" s="6" t="s">
        <v>329</v>
      </c>
      <c r="C6" s="6" t="s">
        <v>330</v>
      </c>
      <c r="D6" s="6" t="s">
        <v>331</v>
      </c>
      <c r="E6" s="6" t="s">
        <v>110</v>
      </c>
      <c r="F6" s="5" t="s">
        <v>332</v>
      </c>
      <c r="G6" s="29">
        <v>1</v>
      </c>
      <c r="H6" s="6" t="s">
        <v>247</v>
      </c>
    </row>
    <row r="7" spans="1:8" x14ac:dyDescent="0.25">
      <c r="A7" s="5">
        <v>2</v>
      </c>
      <c r="B7" s="6" t="s">
        <v>329</v>
      </c>
      <c r="C7" s="6" t="s">
        <v>333</v>
      </c>
      <c r="D7" s="6" t="s">
        <v>334</v>
      </c>
      <c r="E7" s="6" t="s">
        <v>110</v>
      </c>
      <c r="F7" s="5" t="s">
        <v>332</v>
      </c>
      <c r="G7" s="29">
        <v>1</v>
      </c>
      <c r="H7" s="6" t="s">
        <v>247</v>
      </c>
    </row>
    <row r="8" spans="1:8" x14ac:dyDescent="0.25">
      <c r="A8" s="5">
        <v>3</v>
      </c>
      <c r="B8" s="6" t="s">
        <v>329</v>
      </c>
      <c r="C8" s="6" t="s">
        <v>335</v>
      </c>
      <c r="D8" s="6" t="s">
        <v>331</v>
      </c>
      <c r="E8" s="6" t="s">
        <v>110</v>
      </c>
      <c r="F8" s="5" t="s">
        <v>336</v>
      </c>
      <c r="G8" s="29">
        <v>1</v>
      </c>
      <c r="H8" s="6" t="s">
        <v>247</v>
      </c>
    </row>
    <row r="9" spans="1:8" x14ac:dyDescent="0.25">
      <c r="A9" s="5">
        <v>4</v>
      </c>
      <c r="B9" s="6" t="s">
        <v>329</v>
      </c>
      <c r="C9" s="6" t="s">
        <v>337</v>
      </c>
      <c r="D9" s="6" t="s">
        <v>331</v>
      </c>
      <c r="E9" s="6" t="s">
        <v>110</v>
      </c>
      <c r="F9" s="5" t="s">
        <v>336</v>
      </c>
      <c r="G9" s="29">
        <v>1</v>
      </c>
      <c r="H9" s="6" t="s">
        <v>247</v>
      </c>
    </row>
    <row r="10" spans="1:8" x14ac:dyDescent="0.25">
      <c r="A10" s="5">
        <v>5</v>
      </c>
      <c r="B10" s="6" t="s">
        <v>338</v>
      </c>
      <c r="C10" s="6" t="s">
        <v>339</v>
      </c>
      <c r="D10" s="6" t="s">
        <v>340</v>
      </c>
      <c r="E10" s="6" t="s">
        <v>110</v>
      </c>
      <c r="F10" s="5" t="s">
        <v>341</v>
      </c>
      <c r="G10" s="29">
        <v>49</v>
      </c>
      <c r="H10" s="6" t="s">
        <v>342</v>
      </c>
    </row>
    <row r="11" spans="1:8" x14ac:dyDescent="0.25">
      <c r="A11" s="5">
        <v>6</v>
      </c>
      <c r="B11" s="6" t="s">
        <v>338</v>
      </c>
      <c r="C11" s="6" t="s">
        <v>343</v>
      </c>
      <c r="D11" s="6" t="s">
        <v>340</v>
      </c>
      <c r="E11" s="6" t="s">
        <v>110</v>
      </c>
      <c r="F11" s="5" t="s">
        <v>341</v>
      </c>
      <c r="G11" s="29">
        <v>20</v>
      </c>
      <c r="H11" s="6" t="s">
        <v>49</v>
      </c>
    </row>
    <row r="12" spans="1:8" x14ac:dyDescent="0.25">
      <c r="A12" s="5">
        <v>7</v>
      </c>
      <c r="B12" s="6" t="s">
        <v>338</v>
      </c>
      <c r="C12" s="6" t="s">
        <v>344</v>
      </c>
      <c r="D12" s="6" t="s">
        <v>340</v>
      </c>
      <c r="E12" s="6" t="s">
        <v>110</v>
      </c>
      <c r="F12" s="5" t="s">
        <v>341</v>
      </c>
      <c r="G12" s="29">
        <v>69</v>
      </c>
      <c r="H12" s="6" t="s">
        <v>345</v>
      </c>
    </row>
    <row r="13" spans="1:8" x14ac:dyDescent="0.25">
      <c r="A13" s="5">
        <v>8</v>
      </c>
      <c r="B13" s="6" t="s">
        <v>338</v>
      </c>
      <c r="C13" s="6" t="s">
        <v>346</v>
      </c>
      <c r="D13" s="6" t="s">
        <v>340</v>
      </c>
      <c r="E13" s="6" t="s">
        <v>110</v>
      </c>
      <c r="F13" s="5" t="s">
        <v>341</v>
      </c>
      <c r="G13" s="29">
        <v>69</v>
      </c>
      <c r="H13" s="6" t="s">
        <v>345</v>
      </c>
    </row>
    <row r="14" spans="1:8" x14ac:dyDescent="0.25">
      <c r="A14" s="5">
        <v>9</v>
      </c>
      <c r="B14" s="6" t="s">
        <v>338</v>
      </c>
      <c r="C14" s="6" t="s">
        <v>347</v>
      </c>
      <c r="D14" s="6" t="s">
        <v>340</v>
      </c>
      <c r="E14" s="6" t="s">
        <v>110</v>
      </c>
      <c r="F14" s="5" t="s">
        <v>341</v>
      </c>
      <c r="G14" s="29">
        <v>21</v>
      </c>
      <c r="H14" s="6" t="s">
        <v>77</v>
      </c>
    </row>
    <row r="15" spans="1:8" x14ac:dyDescent="0.25">
      <c r="A15" s="5">
        <v>10</v>
      </c>
      <c r="B15" s="6" t="s">
        <v>338</v>
      </c>
      <c r="C15" s="6" t="s">
        <v>348</v>
      </c>
      <c r="D15" s="6" t="s">
        <v>340</v>
      </c>
      <c r="E15" s="6" t="s">
        <v>110</v>
      </c>
      <c r="F15" s="5" t="s">
        <v>341</v>
      </c>
      <c r="G15" s="29">
        <v>25</v>
      </c>
      <c r="H15" s="6" t="s">
        <v>88</v>
      </c>
    </row>
    <row r="16" spans="1:8" x14ac:dyDescent="0.25">
      <c r="A16" s="5">
        <v>11</v>
      </c>
      <c r="B16" s="6" t="s">
        <v>338</v>
      </c>
      <c r="C16" s="6" t="s">
        <v>349</v>
      </c>
      <c r="D16" s="6" t="s">
        <v>340</v>
      </c>
      <c r="E16" s="6" t="s">
        <v>110</v>
      </c>
      <c r="F16" s="5" t="s">
        <v>341</v>
      </c>
      <c r="G16" s="29">
        <v>46</v>
      </c>
      <c r="H16" s="6" t="s">
        <v>350</v>
      </c>
    </row>
    <row r="17" spans="1:8" x14ac:dyDescent="0.25">
      <c r="A17" s="5">
        <v>12</v>
      </c>
      <c r="B17" s="6" t="s">
        <v>338</v>
      </c>
      <c r="C17" s="6" t="s">
        <v>351</v>
      </c>
      <c r="D17" s="6" t="s">
        <v>340</v>
      </c>
      <c r="E17" s="6" t="s">
        <v>110</v>
      </c>
      <c r="F17" s="5" t="s">
        <v>341</v>
      </c>
      <c r="G17" s="29">
        <v>49</v>
      </c>
      <c r="H17" s="6" t="s">
        <v>352</v>
      </c>
    </row>
    <row r="18" spans="1:8" x14ac:dyDescent="0.25">
      <c r="A18" s="5">
        <v>13</v>
      </c>
      <c r="B18" s="6" t="s">
        <v>338</v>
      </c>
      <c r="C18" s="6" t="s">
        <v>353</v>
      </c>
      <c r="D18" s="6" t="s">
        <v>340</v>
      </c>
      <c r="E18" s="6" t="s">
        <v>110</v>
      </c>
      <c r="F18" s="5" t="s">
        <v>341</v>
      </c>
      <c r="G18" s="29">
        <v>70</v>
      </c>
      <c r="H18" s="6" t="s">
        <v>354</v>
      </c>
    </row>
    <row r="19" spans="1:8" x14ac:dyDescent="0.25">
      <c r="A19" s="5">
        <v>14</v>
      </c>
      <c r="B19" s="6" t="s">
        <v>338</v>
      </c>
      <c r="C19" s="6" t="s">
        <v>355</v>
      </c>
      <c r="D19" s="6" t="s">
        <v>340</v>
      </c>
      <c r="E19" s="6" t="s">
        <v>110</v>
      </c>
      <c r="F19" s="5" t="s">
        <v>341</v>
      </c>
      <c r="G19" s="29">
        <v>32</v>
      </c>
      <c r="H19" s="6" t="s">
        <v>356</v>
      </c>
    </row>
    <row r="20" spans="1:8" x14ac:dyDescent="0.25">
      <c r="A20" s="5">
        <v>15</v>
      </c>
      <c r="B20" s="6" t="s">
        <v>338</v>
      </c>
      <c r="C20" s="6" t="s">
        <v>357</v>
      </c>
      <c r="D20" s="6" t="s">
        <v>340</v>
      </c>
      <c r="E20" s="6" t="s">
        <v>110</v>
      </c>
      <c r="F20" s="5" t="s">
        <v>341</v>
      </c>
      <c r="G20" s="29">
        <v>36</v>
      </c>
      <c r="H20" s="6" t="s">
        <v>358</v>
      </c>
    </row>
    <row r="21" spans="1:8" x14ac:dyDescent="0.25">
      <c r="A21" s="5">
        <v>16</v>
      </c>
      <c r="B21" s="6" t="s">
        <v>338</v>
      </c>
      <c r="C21" s="6" t="s">
        <v>359</v>
      </c>
      <c r="D21" s="6" t="s">
        <v>340</v>
      </c>
      <c r="E21" s="6" t="s">
        <v>110</v>
      </c>
      <c r="F21" s="5" t="s">
        <v>341</v>
      </c>
      <c r="G21" s="29">
        <v>14</v>
      </c>
      <c r="H21" s="6" t="s">
        <v>81</v>
      </c>
    </row>
    <row r="22" spans="1:8" x14ac:dyDescent="0.25">
      <c r="A22" s="5">
        <v>17</v>
      </c>
      <c r="B22" s="6" t="s">
        <v>338</v>
      </c>
      <c r="C22" s="6" t="s">
        <v>360</v>
      </c>
      <c r="D22" s="6" t="s">
        <v>340</v>
      </c>
      <c r="E22" s="6" t="s">
        <v>110</v>
      </c>
      <c r="F22" s="5" t="s">
        <v>341</v>
      </c>
      <c r="G22" s="29">
        <v>48</v>
      </c>
      <c r="H22" s="6" t="s">
        <v>361</v>
      </c>
    </row>
    <row r="23" spans="1:8" x14ac:dyDescent="0.25">
      <c r="A23" s="5">
        <v>18</v>
      </c>
      <c r="B23" s="6" t="s">
        <v>338</v>
      </c>
      <c r="C23" s="6" t="s">
        <v>362</v>
      </c>
      <c r="D23" s="6" t="s">
        <v>340</v>
      </c>
      <c r="E23" s="6" t="s">
        <v>110</v>
      </c>
      <c r="F23" s="5" t="s">
        <v>341</v>
      </c>
      <c r="G23" s="29">
        <v>64</v>
      </c>
      <c r="H23" s="6" t="s">
        <v>363</v>
      </c>
    </row>
    <row r="24" spans="1:8" x14ac:dyDescent="0.25">
      <c r="A24" s="5">
        <v>19</v>
      </c>
      <c r="B24" s="6" t="s">
        <v>338</v>
      </c>
      <c r="C24" s="6" t="s">
        <v>364</v>
      </c>
      <c r="D24" s="6" t="s">
        <v>340</v>
      </c>
      <c r="E24" s="6" t="s">
        <v>110</v>
      </c>
      <c r="F24" s="5" t="s">
        <v>341</v>
      </c>
      <c r="G24" s="29">
        <v>24</v>
      </c>
      <c r="H24" s="6" t="s">
        <v>71</v>
      </c>
    </row>
    <row r="25" spans="1:8" x14ac:dyDescent="0.25">
      <c r="A25" s="5">
        <v>20</v>
      </c>
      <c r="B25" s="6" t="s">
        <v>338</v>
      </c>
      <c r="C25" s="6" t="s">
        <v>365</v>
      </c>
      <c r="D25" s="6" t="s">
        <v>340</v>
      </c>
      <c r="E25" s="6" t="s">
        <v>110</v>
      </c>
      <c r="F25" s="5" t="s">
        <v>341</v>
      </c>
      <c r="G25" s="29">
        <v>24</v>
      </c>
      <c r="H25" s="6" t="s">
        <v>71</v>
      </c>
    </row>
    <row r="26" spans="1:8" x14ac:dyDescent="0.25">
      <c r="A26" s="5">
        <v>21</v>
      </c>
      <c r="B26" s="6" t="s">
        <v>338</v>
      </c>
      <c r="C26" s="6" t="s">
        <v>366</v>
      </c>
      <c r="D26" s="6" t="s">
        <v>340</v>
      </c>
      <c r="E26" s="6" t="s">
        <v>110</v>
      </c>
      <c r="F26" s="5" t="s">
        <v>341</v>
      </c>
      <c r="G26" s="29">
        <v>24</v>
      </c>
      <c r="H26" s="6" t="s">
        <v>71</v>
      </c>
    </row>
    <row r="27" spans="1:8" x14ac:dyDescent="0.25">
      <c r="A27" s="5">
        <v>22</v>
      </c>
      <c r="B27" s="6" t="s">
        <v>338</v>
      </c>
      <c r="C27" s="6" t="s">
        <v>367</v>
      </c>
      <c r="D27" s="6" t="s">
        <v>368</v>
      </c>
      <c r="E27" s="6" t="s">
        <v>110</v>
      </c>
      <c r="F27" s="5" t="s">
        <v>341</v>
      </c>
      <c r="G27" s="29">
        <v>39</v>
      </c>
      <c r="H27" s="6" t="s">
        <v>90</v>
      </c>
    </row>
    <row r="28" spans="1:8" x14ac:dyDescent="0.25">
      <c r="A28" s="5">
        <v>23</v>
      </c>
      <c r="B28" s="6" t="s">
        <v>338</v>
      </c>
      <c r="C28" s="6" t="s">
        <v>369</v>
      </c>
      <c r="D28" s="6" t="s">
        <v>368</v>
      </c>
      <c r="E28" s="6" t="s">
        <v>110</v>
      </c>
      <c r="F28" s="5" t="s">
        <v>341</v>
      </c>
      <c r="G28" s="29">
        <v>39</v>
      </c>
      <c r="H28" s="6" t="s">
        <v>90</v>
      </c>
    </row>
    <row r="29" spans="1:8" x14ac:dyDescent="0.25">
      <c r="A29" s="5">
        <v>24</v>
      </c>
      <c r="B29" s="6" t="s">
        <v>338</v>
      </c>
      <c r="C29" s="6" t="s">
        <v>370</v>
      </c>
      <c r="D29" s="6" t="s">
        <v>368</v>
      </c>
      <c r="E29" s="6" t="s">
        <v>110</v>
      </c>
      <c r="F29" s="5" t="s">
        <v>341</v>
      </c>
      <c r="G29" s="29">
        <v>39</v>
      </c>
      <c r="H29" s="6" t="s">
        <v>90</v>
      </c>
    </row>
    <row r="30" spans="1:8" x14ac:dyDescent="0.25">
      <c r="A30" s="5">
        <v>25</v>
      </c>
      <c r="B30" s="6" t="s">
        <v>338</v>
      </c>
      <c r="C30" s="6" t="s">
        <v>371</v>
      </c>
      <c r="D30" s="6" t="s">
        <v>368</v>
      </c>
      <c r="E30" s="6" t="s">
        <v>110</v>
      </c>
      <c r="F30" s="5" t="s">
        <v>341</v>
      </c>
      <c r="G30" s="29">
        <v>31</v>
      </c>
      <c r="H30" s="6" t="s">
        <v>83</v>
      </c>
    </row>
    <row r="31" spans="1:8" x14ac:dyDescent="0.25">
      <c r="A31" s="5">
        <v>26</v>
      </c>
      <c r="B31" s="6" t="s">
        <v>338</v>
      </c>
      <c r="C31" s="6" t="s">
        <v>372</v>
      </c>
      <c r="D31" s="6" t="s">
        <v>368</v>
      </c>
      <c r="E31" s="6" t="s">
        <v>110</v>
      </c>
      <c r="F31" s="5" t="s">
        <v>341</v>
      </c>
      <c r="G31" s="29">
        <v>31</v>
      </c>
      <c r="H31" s="6" t="s">
        <v>83</v>
      </c>
    </row>
    <row r="32" spans="1:8" x14ac:dyDescent="0.25">
      <c r="A32" s="5">
        <v>27</v>
      </c>
      <c r="B32" s="6" t="s">
        <v>338</v>
      </c>
      <c r="C32" s="6" t="s">
        <v>373</v>
      </c>
      <c r="D32" s="6" t="s">
        <v>368</v>
      </c>
      <c r="E32" s="6" t="s">
        <v>110</v>
      </c>
      <c r="F32" s="5" t="s">
        <v>341</v>
      </c>
      <c r="G32" s="29">
        <v>31</v>
      </c>
      <c r="H32" s="6" t="s">
        <v>83</v>
      </c>
    </row>
    <row r="33" spans="1:8" x14ac:dyDescent="0.25">
      <c r="A33" s="5">
        <v>28</v>
      </c>
      <c r="B33" s="6" t="s">
        <v>338</v>
      </c>
      <c r="C33" s="6" t="s">
        <v>374</v>
      </c>
      <c r="D33" s="6" t="s">
        <v>368</v>
      </c>
      <c r="E33" s="6" t="s">
        <v>110</v>
      </c>
      <c r="F33" s="5" t="s">
        <v>341</v>
      </c>
      <c r="G33" s="29">
        <v>14</v>
      </c>
      <c r="H33" s="6" t="s">
        <v>22</v>
      </c>
    </row>
    <row r="34" spans="1:8" x14ac:dyDescent="0.25">
      <c r="A34" s="5">
        <v>29</v>
      </c>
      <c r="B34" s="6" t="s">
        <v>338</v>
      </c>
      <c r="C34" s="6" t="s">
        <v>375</v>
      </c>
      <c r="D34" s="6" t="s">
        <v>368</v>
      </c>
      <c r="E34" s="6" t="s">
        <v>110</v>
      </c>
      <c r="F34" s="5" t="s">
        <v>341</v>
      </c>
      <c r="G34" s="29">
        <v>14</v>
      </c>
      <c r="H34" s="6" t="s">
        <v>22</v>
      </c>
    </row>
    <row r="35" spans="1:8" x14ac:dyDescent="0.25">
      <c r="A35" s="5">
        <v>30</v>
      </c>
      <c r="B35" s="6" t="s">
        <v>338</v>
      </c>
      <c r="C35" s="6" t="s">
        <v>376</v>
      </c>
      <c r="D35" s="6" t="s">
        <v>368</v>
      </c>
      <c r="E35" s="6" t="s">
        <v>110</v>
      </c>
      <c r="F35" s="5" t="s">
        <v>341</v>
      </c>
      <c r="G35" s="29">
        <v>14</v>
      </c>
      <c r="H35" s="6" t="s">
        <v>22</v>
      </c>
    </row>
    <row r="36" spans="1:8" x14ac:dyDescent="0.25">
      <c r="A36" s="5">
        <v>31</v>
      </c>
      <c r="B36" s="6" t="s">
        <v>338</v>
      </c>
      <c r="C36" s="6" t="s">
        <v>377</v>
      </c>
      <c r="D36" s="6" t="s">
        <v>368</v>
      </c>
      <c r="E36" s="6" t="s">
        <v>110</v>
      </c>
      <c r="F36" s="5" t="s">
        <v>341</v>
      </c>
      <c r="G36" s="29">
        <v>14</v>
      </c>
      <c r="H36" s="6" t="s">
        <v>22</v>
      </c>
    </row>
    <row r="37" spans="1:8" x14ac:dyDescent="0.25">
      <c r="A37" s="5">
        <v>32</v>
      </c>
      <c r="B37" s="6" t="s">
        <v>338</v>
      </c>
      <c r="C37" s="6" t="s">
        <v>378</v>
      </c>
      <c r="D37" s="6" t="s">
        <v>368</v>
      </c>
      <c r="E37" s="6" t="s">
        <v>110</v>
      </c>
      <c r="F37" s="5" t="s">
        <v>341</v>
      </c>
      <c r="G37" s="29">
        <v>14</v>
      </c>
      <c r="H37" s="6" t="s">
        <v>22</v>
      </c>
    </row>
    <row r="38" spans="1:8" x14ac:dyDescent="0.25">
      <c r="A38" s="5">
        <v>33</v>
      </c>
      <c r="B38" s="6" t="s">
        <v>379</v>
      </c>
      <c r="C38" s="6" t="s">
        <v>380</v>
      </c>
      <c r="D38" s="6" t="s">
        <v>381</v>
      </c>
      <c r="E38" s="6" t="s">
        <v>110</v>
      </c>
      <c r="F38" s="5" t="s">
        <v>382</v>
      </c>
      <c r="G38" s="29">
        <v>1</v>
      </c>
      <c r="H38" s="6" t="s">
        <v>123</v>
      </c>
    </row>
    <row r="39" spans="1:8" x14ac:dyDescent="0.25">
      <c r="A39" s="5">
        <v>34</v>
      </c>
      <c r="B39" s="6" t="s">
        <v>379</v>
      </c>
      <c r="C39" s="6" t="s">
        <v>383</v>
      </c>
      <c r="D39" s="6" t="s">
        <v>340</v>
      </c>
      <c r="E39" s="6" t="s">
        <v>110</v>
      </c>
      <c r="F39" s="5" t="s">
        <v>341</v>
      </c>
      <c r="G39" s="29">
        <v>3</v>
      </c>
      <c r="H39" s="6" t="s">
        <v>123</v>
      </c>
    </row>
    <row r="40" spans="1:8" x14ac:dyDescent="0.25">
      <c r="A40" s="5">
        <v>35</v>
      </c>
      <c r="B40" s="6" t="s">
        <v>379</v>
      </c>
      <c r="C40" s="6" t="s">
        <v>384</v>
      </c>
      <c r="D40" s="6" t="s">
        <v>381</v>
      </c>
      <c r="E40" s="6" t="s">
        <v>110</v>
      </c>
      <c r="F40" s="5" t="s">
        <v>332</v>
      </c>
      <c r="G40" s="29">
        <v>4</v>
      </c>
      <c r="H40" s="6" t="s">
        <v>105</v>
      </c>
    </row>
    <row r="41" spans="1:8" x14ac:dyDescent="0.25">
      <c r="A41" s="5">
        <v>36</v>
      </c>
      <c r="B41" s="6" t="s">
        <v>379</v>
      </c>
      <c r="C41" s="6" t="s">
        <v>385</v>
      </c>
      <c r="D41" s="6" t="s">
        <v>340</v>
      </c>
      <c r="E41" s="6" t="s">
        <v>110</v>
      </c>
      <c r="F41" s="5" t="s">
        <v>341</v>
      </c>
      <c r="G41" s="29">
        <v>3</v>
      </c>
      <c r="H41" s="6" t="s">
        <v>105</v>
      </c>
    </row>
    <row r="42" spans="1:8" x14ac:dyDescent="0.25">
      <c r="A42" s="5">
        <v>37</v>
      </c>
      <c r="B42" s="6" t="s">
        <v>379</v>
      </c>
      <c r="C42" s="6" t="s">
        <v>386</v>
      </c>
      <c r="D42" s="6" t="s">
        <v>381</v>
      </c>
      <c r="E42" s="6" t="s">
        <v>110</v>
      </c>
      <c r="F42" s="5" t="s">
        <v>332</v>
      </c>
      <c r="G42" s="29">
        <v>2</v>
      </c>
      <c r="H42" s="6" t="s">
        <v>387</v>
      </c>
    </row>
    <row r="43" spans="1:8" x14ac:dyDescent="0.25">
      <c r="A43" s="5">
        <v>38</v>
      </c>
      <c r="B43" s="6" t="s">
        <v>379</v>
      </c>
      <c r="C43" s="6" t="s">
        <v>388</v>
      </c>
      <c r="D43" s="6" t="s">
        <v>389</v>
      </c>
      <c r="E43" s="6" t="s">
        <v>110</v>
      </c>
      <c r="F43" s="5" t="s">
        <v>332</v>
      </c>
      <c r="G43" s="29">
        <v>5</v>
      </c>
      <c r="H43" s="6" t="s">
        <v>390</v>
      </c>
    </row>
    <row r="44" spans="1:8" x14ac:dyDescent="0.25">
      <c r="A44" s="5">
        <v>39</v>
      </c>
      <c r="B44" s="6" t="s">
        <v>379</v>
      </c>
      <c r="C44" s="6" t="s">
        <v>391</v>
      </c>
      <c r="D44" s="6" t="s">
        <v>389</v>
      </c>
      <c r="E44" s="6" t="s">
        <v>110</v>
      </c>
      <c r="F44" s="5" t="s">
        <v>332</v>
      </c>
      <c r="G44" s="29">
        <v>4</v>
      </c>
      <c r="H44" s="6" t="s">
        <v>392</v>
      </c>
    </row>
    <row r="45" spans="1:8" x14ac:dyDescent="0.25">
      <c r="A45" s="5">
        <v>40</v>
      </c>
      <c r="B45" s="6" t="s">
        <v>379</v>
      </c>
      <c r="C45" s="6" t="s">
        <v>393</v>
      </c>
      <c r="D45" s="6" t="s">
        <v>389</v>
      </c>
      <c r="E45" s="6" t="s">
        <v>110</v>
      </c>
      <c r="F45" s="5" t="s">
        <v>332</v>
      </c>
      <c r="G45" s="29">
        <v>2</v>
      </c>
      <c r="H45" s="6" t="s">
        <v>394</v>
      </c>
    </row>
    <row r="46" spans="1:8" x14ac:dyDescent="0.25">
      <c r="A46" s="5">
        <v>41</v>
      </c>
      <c r="B46" s="6" t="s">
        <v>379</v>
      </c>
      <c r="C46" s="6" t="s">
        <v>395</v>
      </c>
      <c r="D46" s="6" t="s">
        <v>389</v>
      </c>
      <c r="E46" s="6" t="s">
        <v>110</v>
      </c>
      <c r="F46" s="5" t="s">
        <v>332</v>
      </c>
      <c r="G46" s="29">
        <v>1</v>
      </c>
      <c r="H46" s="6" t="s">
        <v>64</v>
      </c>
    </row>
    <row r="47" spans="1:8" x14ac:dyDescent="0.25">
      <c r="A47" s="5">
        <v>42</v>
      </c>
      <c r="B47" s="6" t="s">
        <v>379</v>
      </c>
      <c r="C47" s="6" t="s">
        <v>396</v>
      </c>
      <c r="D47" s="6" t="s">
        <v>389</v>
      </c>
      <c r="E47" s="6" t="s">
        <v>110</v>
      </c>
      <c r="F47" s="5" t="s">
        <v>332</v>
      </c>
      <c r="G47" s="29">
        <v>1</v>
      </c>
      <c r="H47" s="6" t="s">
        <v>71</v>
      </c>
    </row>
    <row r="48" spans="1:8" x14ac:dyDescent="0.25">
      <c r="A48" s="5">
        <v>43</v>
      </c>
      <c r="B48" s="6" t="s">
        <v>379</v>
      </c>
      <c r="C48" s="6" t="s">
        <v>397</v>
      </c>
      <c r="D48" s="6" t="s">
        <v>389</v>
      </c>
      <c r="E48" s="6" t="s">
        <v>110</v>
      </c>
      <c r="F48" s="5" t="s">
        <v>332</v>
      </c>
      <c r="G48" s="29">
        <v>1</v>
      </c>
      <c r="H48" s="6" t="s">
        <v>22</v>
      </c>
    </row>
    <row r="49" spans="1:8" x14ac:dyDescent="0.25">
      <c r="A49" s="5">
        <v>44</v>
      </c>
      <c r="B49" s="6" t="s">
        <v>379</v>
      </c>
      <c r="C49" s="6" t="s">
        <v>398</v>
      </c>
      <c r="D49" s="6" t="s">
        <v>399</v>
      </c>
      <c r="E49" s="6" t="s">
        <v>110</v>
      </c>
      <c r="F49" s="5" t="s">
        <v>332</v>
      </c>
      <c r="G49" s="29">
        <v>9</v>
      </c>
      <c r="H49" s="6" t="s">
        <v>400</v>
      </c>
    </row>
    <row r="50" spans="1:8" x14ac:dyDescent="0.25">
      <c r="A50" s="5">
        <v>45</v>
      </c>
      <c r="B50" s="6" t="s">
        <v>379</v>
      </c>
      <c r="C50" s="6" t="s">
        <v>401</v>
      </c>
      <c r="D50" s="6" t="s">
        <v>399</v>
      </c>
      <c r="E50" s="6" t="s">
        <v>110</v>
      </c>
      <c r="F50" s="5" t="s">
        <v>332</v>
      </c>
      <c r="G50" s="29">
        <v>1</v>
      </c>
      <c r="H50" s="6" t="s">
        <v>71</v>
      </c>
    </row>
    <row r="51" spans="1:8" x14ac:dyDescent="0.25">
      <c r="A51" s="5">
        <v>46</v>
      </c>
      <c r="B51" s="6" t="s">
        <v>379</v>
      </c>
      <c r="C51" s="6" t="s">
        <v>402</v>
      </c>
      <c r="D51" s="6" t="s">
        <v>381</v>
      </c>
      <c r="E51" s="6" t="s">
        <v>110</v>
      </c>
      <c r="F51" s="5" t="s">
        <v>332</v>
      </c>
      <c r="G51" s="29">
        <v>4</v>
      </c>
      <c r="H51" s="6" t="s">
        <v>403</v>
      </c>
    </row>
    <row r="52" spans="1:8" x14ac:dyDescent="0.25">
      <c r="A52" s="5">
        <v>47</v>
      </c>
      <c r="B52" s="6" t="s">
        <v>404</v>
      </c>
      <c r="C52" s="6" t="s">
        <v>405</v>
      </c>
      <c r="D52" s="6" t="s">
        <v>406</v>
      </c>
      <c r="E52" s="6" t="s">
        <v>110</v>
      </c>
      <c r="F52" s="5" t="s">
        <v>332</v>
      </c>
      <c r="G52" s="29">
        <v>1</v>
      </c>
      <c r="H52" s="6" t="s">
        <v>105</v>
      </c>
    </row>
    <row r="53" spans="1:8" x14ac:dyDescent="0.25">
      <c r="A53" s="5">
        <v>48</v>
      </c>
      <c r="B53" s="6" t="s">
        <v>404</v>
      </c>
      <c r="C53" s="6" t="s">
        <v>407</v>
      </c>
      <c r="D53" s="6" t="s">
        <v>406</v>
      </c>
      <c r="E53" s="6" t="s">
        <v>110</v>
      </c>
      <c r="F53" s="5" t="s">
        <v>332</v>
      </c>
      <c r="G53" s="29">
        <v>1</v>
      </c>
      <c r="H53" s="6" t="s">
        <v>403</v>
      </c>
    </row>
    <row r="54" spans="1:8" x14ac:dyDescent="0.25">
      <c r="A54" s="5">
        <v>49</v>
      </c>
      <c r="B54" s="6" t="s">
        <v>404</v>
      </c>
      <c r="C54" s="6" t="s">
        <v>408</v>
      </c>
      <c r="D54" s="6" t="s">
        <v>406</v>
      </c>
      <c r="E54" s="6" t="s">
        <v>110</v>
      </c>
      <c r="F54" s="5" t="s">
        <v>332</v>
      </c>
      <c r="G54" s="29">
        <v>1</v>
      </c>
      <c r="H54" s="6" t="s">
        <v>403</v>
      </c>
    </row>
    <row r="55" spans="1:8" x14ac:dyDescent="0.25">
      <c r="A55" s="5">
        <v>50</v>
      </c>
      <c r="B55" s="6" t="s">
        <v>409</v>
      </c>
      <c r="C55" s="6" t="s">
        <v>410</v>
      </c>
      <c r="D55" s="6" t="s">
        <v>411</v>
      </c>
      <c r="E55" s="6" t="s">
        <v>110</v>
      </c>
      <c r="F55" s="5" t="s">
        <v>341</v>
      </c>
      <c r="G55" s="29">
        <v>51</v>
      </c>
      <c r="H55" s="6" t="s">
        <v>412</v>
      </c>
    </row>
    <row r="56" spans="1:8" x14ac:dyDescent="0.25">
      <c r="A56" s="5">
        <v>51</v>
      </c>
      <c r="B56" s="6" t="s">
        <v>409</v>
      </c>
      <c r="C56" s="6" t="s">
        <v>413</v>
      </c>
      <c r="D56" s="6" t="s">
        <v>411</v>
      </c>
      <c r="E56" s="6" t="s">
        <v>110</v>
      </c>
      <c r="F56" s="5" t="s">
        <v>341</v>
      </c>
      <c r="G56" s="29">
        <v>9</v>
      </c>
      <c r="H56" s="6" t="s">
        <v>414</v>
      </c>
    </row>
    <row r="57" spans="1:8" x14ac:dyDescent="0.25">
      <c r="A57" s="5">
        <v>52</v>
      </c>
      <c r="B57" s="6" t="s">
        <v>409</v>
      </c>
      <c r="C57" s="6" t="s">
        <v>415</v>
      </c>
      <c r="D57" s="6" t="s">
        <v>411</v>
      </c>
      <c r="E57" s="6" t="s">
        <v>110</v>
      </c>
      <c r="F57" s="5" t="s">
        <v>341</v>
      </c>
      <c r="G57" s="29">
        <v>39</v>
      </c>
      <c r="H57" s="6" t="s">
        <v>416</v>
      </c>
    </row>
    <row r="58" spans="1:8" x14ac:dyDescent="0.25">
      <c r="A58" s="5">
        <v>53</v>
      </c>
      <c r="B58" s="6" t="s">
        <v>409</v>
      </c>
      <c r="C58" s="6" t="s">
        <v>417</v>
      </c>
      <c r="D58" s="6" t="s">
        <v>411</v>
      </c>
      <c r="E58" s="6" t="s">
        <v>110</v>
      </c>
      <c r="F58" s="5" t="s">
        <v>341</v>
      </c>
      <c r="G58" s="29">
        <v>14</v>
      </c>
      <c r="H58" s="6" t="s">
        <v>418</v>
      </c>
    </row>
    <row r="59" spans="1:8" x14ac:dyDescent="0.25">
      <c r="A59" s="5">
        <v>54</v>
      </c>
      <c r="B59" s="6" t="s">
        <v>409</v>
      </c>
      <c r="C59" s="6" t="s">
        <v>419</v>
      </c>
      <c r="D59" s="6" t="s">
        <v>420</v>
      </c>
      <c r="E59" s="6" t="s">
        <v>110</v>
      </c>
      <c r="F59" s="5" t="s">
        <v>341</v>
      </c>
      <c r="G59" s="29">
        <v>14</v>
      </c>
      <c r="H59" s="6" t="s">
        <v>421</v>
      </c>
    </row>
    <row r="60" spans="1:8" x14ac:dyDescent="0.25">
      <c r="A60" s="5">
        <v>55</v>
      </c>
      <c r="B60" s="6" t="s">
        <v>409</v>
      </c>
      <c r="C60" s="6" t="s">
        <v>422</v>
      </c>
      <c r="D60" s="6" t="s">
        <v>420</v>
      </c>
      <c r="E60" s="6" t="s">
        <v>110</v>
      </c>
      <c r="F60" s="5" t="s">
        <v>332</v>
      </c>
      <c r="G60" s="29">
        <v>9</v>
      </c>
      <c r="H60" s="6" t="s">
        <v>421</v>
      </c>
    </row>
    <row r="61" spans="1:8" x14ac:dyDescent="0.25">
      <c r="A61" s="5">
        <v>56</v>
      </c>
      <c r="B61" s="6" t="s">
        <v>423</v>
      </c>
      <c r="C61" s="6" t="s">
        <v>424</v>
      </c>
      <c r="D61" s="6" t="s">
        <v>425</v>
      </c>
      <c r="E61" s="6" t="s">
        <v>110</v>
      </c>
      <c r="F61" s="5" t="s">
        <v>332</v>
      </c>
      <c r="G61" s="29">
        <v>30</v>
      </c>
      <c r="H61" s="6" t="s">
        <v>403</v>
      </c>
    </row>
    <row r="62" spans="1:8" x14ac:dyDescent="0.25">
      <c r="A62" s="5">
        <v>57</v>
      </c>
      <c r="B62" s="6" t="s">
        <v>423</v>
      </c>
      <c r="C62" s="6" t="s">
        <v>426</v>
      </c>
      <c r="D62" s="6" t="s">
        <v>425</v>
      </c>
      <c r="E62" s="6" t="s">
        <v>110</v>
      </c>
      <c r="F62" s="5" t="s">
        <v>332</v>
      </c>
      <c r="G62" s="29">
        <v>14</v>
      </c>
      <c r="H62" s="6" t="s">
        <v>403</v>
      </c>
    </row>
    <row r="63" spans="1:8" x14ac:dyDescent="0.25">
      <c r="A63" s="5">
        <v>58</v>
      </c>
      <c r="B63" s="6" t="s">
        <v>427</v>
      </c>
      <c r="C63" s="6" t="s">
        <v>428</v>
      </c>
      <c r="D63" s="6" t="s">
        <v>429</v>
      </c>
      <c r="E63" s="6" t="s">
        <v>110</v>
      </c>
      <c r="F63" s="5" t="s">
        <v>332</v>
      </c>
      <c r="G63" s="29">
        <v>18</v>
      </c>
      <c r="H63" s="6" t="s">
        <v>403</v>
      </c>
    </row>
    <row r="64" spans="1:8" x14ac:dyDescent="0.25">
      <c r="A64" s="5">
        <v>59</v>
      </c>
      <c r="B64" s="6" t="s">
        <v>427</v>
      </c>
      <c r="C64" s="6" t="s">
        <v>430</v>
      </c>
      <c r="D64" s="6" t="s">
        <v>429</v>
      </c>
      <c r="E64" s="6" t="s">
        <v>110</v>
      </c>
      <c r="F64" s="5" t="s">
        <v>332</v>
      </c>
      <c r="G64" s="29">
        <v>4</v>
      </c>
      <c r="H64" s="6" t="s">
        <v>403</v>
      </c>
    </row>
    <row r="65" spans="1:8" x14ac:dyDescent="0.25">
      <c r="A65" s="5">
        <v>60</v>
      </c>
      <c r="B65" s="6" t="s">
        <v>427</v>
      </c>
      <c r="C65" s="6" t="s">
        <v>431</v>
      </c>
      <c r="D65" s="6" t="s">
        <v>432</v>
      </c>
      <c r="E65" s="6" t="s">
        <v>110</v>
      </c>
      <c r="F65" s="5" t="s">
        <v>332</v>
      </c>
      <c r="G65" s="29">
        <v>8</v>
      </c>
      <c r="H65" s="6" t="s">
        <v>403</v>
      </c>
    </row>
    <row r="66" spans="1:8" x14ac:dyDescent="0.25">
      <c r="A66" s="5">
        <v>61</v>
      </c>
      <c r="B66" s="6" t="s">
        <v>427</v>
      </c>
      <c r="C66" s="6" t="s">
        <v>433</v>
      </c>
      <c r="D66" s="6" t="s">
        <v>432</v>
      </c>
      <c r="E66" s="6" t="s">
        <v>110</v>
      </c>
      <c r="F66" s="5" t="s">
        <v>332</v>
      </c>
      <c r="G66" s="29">
        <v>2</v>
      </c>
      <c r="H66" s="6" t="s">
        <v>403</v>
      </c>
    </row>
    <row r="67" spans="1:8" x14ac:dyDescent="0.25">
      <c r="A67" s="5">
        <v>62</v>
      </c>
      <c r="B67" s="6" t="s">
        <v>427</v>
      </c>
      <c r="C67" s="6" t="s">
        <v>434</v>
      </c>
      <c r="D67" s="6" t="s">
        <v>425</v>
      </c>
      <c r="E67" s="6" t="s">
        <v>110</v>
      </c>
      <c r="F67" s="5" t="s">
        <v>332</v>
      </c>
      <c r="G67" s="29">
        <v>3</v>
      </c>
      <c r="H67" s="6" t="s">
        <v>403</v>
      </c>
    </row>
    <row r="68" spans="1:8" x14ac:dyDescent="0.25">
      <c r="A68" s="5">
        <v>63</v>
      </c>
      <c r="B68" s="6" t="s">
        <v>44</v>
      </c>
      <c r="C68" s="6" t="s">
        <v>435</v>
      </c>
      <c r="D68" s="6" t="s">
        <v>436</v>
      </c>
      <c r="E68" s="6" t="s">
        <v>110</v>
      </c>
      <c r="F68" s="5" t="s">
        <v>332</v>
      </c>
      <c r="G68" s="29">
        <v>4</v>
      </c>
      <c r="H68" s="6" t="s">
        <v>186</v>
      </c>
    </row>
    <row r="69" spans="1:8" x14ac:dyDescent="0.25">
      <c r="A69" s="5">
        <v>64</v>
      </c>
      <c r="B69" s="6" t="s">
        <v>44</v>
      </c>
      <c r="C69" s="6" t="s">
        <v>437</v>
      </c>
      <c r="D69" s="6" t="s">
        <v>436</v>
      </c>
      <c r="E69" s="6" t="s">
        <v>110</v>
      </c>
      <c r="F69" s="5" t="s">
        <v>332</v>
      </c>
      <c r="G69" s="29">
        <v>4</v>
      </c>
      <c r="H69" s="6" t="s">
        <v>190</v>
      </c>
    </row>
    <row r="70" spans="1:8" x14ac:dyDescent="0.25">
      <c r="A70" s="5">
        <v>65</v>
      </c>
      <c r="B70" s="6" t="s">
        <v>44</v>
      </c>
      <c r="C70" s="6" t="s">
        <v>438</v>
      </c>
      <c r="D70" s="6" t="s">
        <v>436</v>
      </c>
      <c r="E70" s="6" t="s">
        <v>110</v>
      </c>
      <c r="F70" s="5" t="s">
        <v>332</v>
      </c>
      <c r="G70" s="29">
        <v>8</v>
      </c>
      <c r="H70" s="6" t="s">
        <v>193</v>
      </c>
    </row>
    <row r="71" spans="1:8" x14ac:dyDescent="0.25">
      <c r="A71" s="5">
        <v>66</v>
      </c>
      <c r="B71" s="6" t="s">
        <v>44</v>
      </c>
      <c r="C71" s="6" t="s">
        <v>439</v>
      </c>
      <c r="D71" s="6" t="s">
        <v>436</v>
      </c>
      <c r="E71" s="6" t="s">
        <v>110</v>
      </c>
      <c r="F71" s="5" t="s">
        <v>332</v>
      </c>
      <c r="G71" s="29">
        <v>6</v>
      </c>
      <c r="H71" s="6" t="s">
        <v>197</v>
      </c>
    </row>
    <row r="72" spans="1:8" x14ac:dyDescent="0.25">
      <c r="A72" s="5">
        <v>67</v>
      </c>
      <c r="B72" s="6" t="s">
        <v>44</v>
      </c>
      <c r="C72" s="6" t="s">
        <v>440</v>
      </c>
      <c r="D72" s="6" t="s">
        <v>441</v>
      </c>
      <c r="E72" s="6" t="s">
        <v>110</v>
      </c>
      <c r="F72" s="5" t="s">
        <v>332</v>
      </c>
      <c r="G72" s="29">
        <v>4</v>
      </c>
      <c r="H72" s="6" t="s">
        <v>218</v>
      </c>
    </row>
    <row r="73" spans="1:8" x14ac:dyDescent="0.25">
      <c r="A73" s="5">
        <v>68</v>
      </c>
      <c r="B73" s="6" t="s">
        <v>44</v>
      </c>
      <c r="C73" s="6" t="s">
        <v>442</v>
      </c>
      <c r="D73" s="6" t="s">
        <v>443</v>
      </c>
      <c r="E73" s="6" t="s">
        <v>110</v>
      </c>
      <c r="F73" s="5" t="s">
        <v>332</v>
      </c>
      <c r="G73" s="29">
        <v>4</v>
      </c>
      <c r="H73" s="6" t="s">
        <v>218</v>
      </c>
    </row>
    <row r="74" spans="1:8" x14ac:dyDescent="0.25">
      <c r="A74" s="5">
        <v>69</v>
      </c>
      <c r="B74" s="6" t="s">
        <v>44</v>
      </c>
      <c r="C74" s="6" t="s">
        <v>444</v>
      </c>
      <c r="D74" s="6" t="s">
        <v>445</v>
      </c>
      <c r="E74" s="6" t="s">
        <v>110</v>
      </c>
      <c r="F74" s="5" t="s">
        <v>332</v>
      </c>
      <c r="G74" s="29">
        <v>1</v>
      </c>
      <c r="H74" s="6" t="s">
        <v>218</v>
      </c>
    </row>
    <row r="75" spans="1:8" x14ac:dyDescent="0.25">
      <c r="A75" s="5">
        <v>70</v>
      </c>
      <c r="B75" s="6" t="s">
        <v>446</v>
      </c>
      <c r="C75" s="6" t="s">
        <v>447</v>
      </c>
      <c r="D75" s="6" t="s">
        <v>448</v>
      </c>
      <c r="E75" s="6" t="s">
        <v>110</v>
      </c>
      <c r="F75" s="5" t="s">
        <v>341</v>
      </c>
      <c r="G75" s="29">
        <v>49</v>
      </c>
      <c r="H75" s="6" t="s">
        <v>449</v>
      </c>
    </row>
    <row r="76" spans="1:8" x14ac:dyDescent="0.25">
      <c r="A76" s="5">
        <v>71</v>
      </c>
      <c r="B76" s="6" t="s">
        <v>446</v>
      </c>
      <c r="C76" s="6" t="s">
        <v>450</v>
      </c>
      <c r="D76" s="6" t="s">
        <v>448</v>
      </c>
      <c r="E76" s="6" t="s">
        <v>110</v>
      </c>
      <c r="F76" s="5" t="s">
        <v>341</v>
      </c>
      <c r="G76" s="29">
        <v>28</v>
      </c>
      <c r="H76" s="6" t="s">
        <v>449</v>
      </c>
    </row>
    <row r="77" spans="1:8" x14ac:dyDescent="0.25">
      <c r="A77" s="5">
        <v>72</v>
      </c>
      <c r="B77" s="6" t="s">
        <v>446</v>
      </c>
      <c r="C77" s="6" t="s">
        <v>451</v>
      </c>
      <c r="D77" s="6" t="s">
        <v>452</v>
      </c>
      <c r="E77" s="6" t="s">
        <v>110</v>
      </c>
      <c r="F77" s="5" t="s">
        <v>341</v>
      </c>
      <c r="G77" s="29">
        <v>63</v>
      </c>
      <c r="H77" s="6" t="s">
        <v>449</v>
      </c>
    </row>
    <row r="78" spans="1:8" x14ac:dyDescent="0.25">
      <c r="A78" s="5">
        <v>73</v>
      </c>
      <c r="B78" s="6" t="s">
        <v>446</v>
      </c>
      <c r="C78" s="6" t="s">
        <v>453</v>
      </c>
      <c r="D78" s="6" t="s">
        <v>448</v>
      </c>
      <c r="E78" s="6" t="s">
        <v>110</v>
      </c>
      <c r="F78" s="5" t="s">
        <v>332</v>
      </c>
      <c r="G78" s="29">
        <v>46</v>
      </c>
      <c r="H78" s="6" t="s">
        <v>449</v>
      </c>
    </row>
    <row r="79" spans="1:8" x14ac:dyDescent="0.25">
      <c r="A79" s="5">
        <v>74</v>
      </c>
      <c r="B79" s="6" t="s">
        <v>446</v>
      </c>
      <c r="C79" s="6" t="s">
        <v>454</v>
      </c>
      <c r="D79" s="6" t="s">
        <v>448</v>
      </c>
      <c r="E79" s="6" t="s">
        <v>110</v>
      </c>
      <c r="F79" s="5" t="s">
        <v>332</v>
      </c>
      <c r="G79" s="29">
        <v>24</v>
      </c>
      <c r="H79" s="6" t="s">
        <v>449</v>
      </c>
    </row>
    <row r="80" spans="1:8" x14ac:dyDescent="0.25">
      <c r="A80" s="5">
        <v>75</v>
      </c>
      <c r="B80" s="6" t="s">
        <v>446</v>
      </c>
      <c r="C80" s="6" t="s">
        <v>455</v>
      </c>
      <c r="D80" s="6" t="s">
        <v>448</v>
      </c>
      <c r="E80" s="6" t="s">
        <v>110</v>
      </c>
      <c r="F80" s="5" t="s">
        <v>332</v>
      </c>
      <c r="G80" s="29">
        <v>4</v>
      </c>
      <c r="H80" s="6" t="s">
        <v>449</v>
      </c>
    </row>
    <row r="81" spans="1:8" x14ac:dyDescent="0.25">
      <c r="A81" s="5">
        <v>76</v>
      </c>
      <c r="B81" s="6" t="s">
        <v>446</v>
      </c>
      <c r="C81" s="6" t="s">
        <v>456</v>
      </c>
      <c r="D81" s="6" t="s">
        <v>448</v>
      </c>
      <c r="E81" s="6" t="s">
        <v>110</v>
      </c>
      <c r="F81" s="5" t="s">
        <v>332</v>
      </c>
      <c r="G81" s="29">
        <v>4</v>
      </c>
      <c r="H81" s="6" t="s">
        <v>449</v>
      </c>
    </row>
    <row r="82" spans="1:8" x14ac:dyDescent="0.25">
      <c r="A82" s="5">
        <v>77</v>
      </c>
      <c r="B82" s="6" t="s">
        <v>446</v>
      </c>
      <c r="C82" s="6" t="s">
        <v>457</v>
      </c>
      <c r="D82" s="6" t="s">
        <v>411</v>
      </c>
      <c r="E82" s="6" t="s">
        <v>110</v>
      </c>
      <c r="F82" s="5" t="s">
        <v>341</v>
      </c>
      <c r="G82" s="29">
        <v>10</v>
      </c>
      <c r="H82" s="6" t="s">
        <v>449</v>
      </c>
    </row>
    <row r="83" spans="1:8" x14ac:dyDescent="0.25">
      <c r="A83" s="5">
        <v>78</v>
      </c>
      <c r="B83" s="6" t="s">
        <v>446</v>
      </c>
      <c r="C83" s="6" t="s">
        <v>458</v>
      </c>
      <c r="D83" s="6" t="s">
        <v>448</v>
      </c>
      <c r="E83" s="6" t="s">
        <v>110</v>
      </c>
      <c r="F83" s="5" t="s">
        <v>332</v>
      </c>
      <c r="G83" s="29">
        <v>4</v>
      </c>
      <c r="H83" s="6" t="s">
        <v>449</v>
      </c>
    </row>
    <row r="84" spans="1:8" x14ac:dyDescent="0.25">
      <c r="A84" s="5">
        <v>79</v>
      </c>
      <c r="B84" s="6" t="s">
        <v>446</v>
      </c>
      <c r="C84" s="6" t="s">
        <v>459</v>
      </c>
      <c r="D84" s="6" t="s">
        <v>460</v>
      </c>
      <c r="E84" s="6" t="s">
        <v>110</v>
      </c>
      <c r="F84" s="5" t="s">
        <v>332</v>
      </c>
      <c r="G84" s="29">
        <v>4</v>
      </c>
      <c r="H84" s="6" t="s">
        <v>449</v>
      </c>
    </row>
    <row r="85" spans="1:8" x14ac:dyDescent="0.25">
      <c r="A85" s="5">
        <v>80</v>
      </c>
      <c r="B85" s="6" t="s">
        <v>446</v>
      </c>
      <c r="C85" s="6" t="s">
        <v>461</v>
      </c>
      <c r="D85" s="6" t="s">
        <v>462</v>
      </c>
      <c r="E85" s="6" t="s">
        <v>110</v>
      </c>
      <c r="F85" s="5" t="s">
        <v>336</v>
      </c>
      <c r="G85" s="29">
        <v>1</v>
      </c>
      <c r="H85" s="6" t="s">
        <v>449</v>
      </c>
    </row>
    <row r="86" spans="1:8" x14ac:dyDescent="0.25">
      <c r="A86" s="5">
        <v>81</v>
      </c>
      <c r="B86" s="6" t="s">
        <v>463</v>
      </c>
      <c r="C86" s="6" t="s">
        <v>464</v>
      </c>
      <c r="D86" s="6" t="s">
        <v>465</v>
      </c>
      <c r="E86" s="6" t="s">
        <v>110</v>
      </c>
      <c r="F86" s="5" t="s">
        <v>332</v>
      </c>
      <c r="G86" s="29">
        <v>4</v>
      </c>
      <c r="H86" s="6" t="s">
        <v>466</v>
      </c>
    </row>
    <row r="87" spans="1:8" x14ac:dyDescent="0.25">
      <c r="A87" s="5">
        <v>82</v>
      </c>
      <c r="B87" s="6" t="s">
        <v>463</v>
      </c>
      <c r="C87" s="6" t="s">
        <v>467</v>
      </c>
      <c r="D87" s="6" t="s">
        <v>460</v>
      </c>
      <c r="E87" s="6" t="s">
        <v>110</v>
      </c>
      <c r="F87" s="5" t="s">
        <v>332</v>
      </c>
      <c r="G87" s="29">
        <v>4</v>
      </c>
      <c r="H87" s="6" t="s">
        <v>466</v>
      </c>
    </row>
    <row r="88" spans="1:8" x14ac:dyDescent="0.25">
      <c r="A88" s="5">
        <v>83</v>
      </c>
      <c r="B88" s="6" t="s">
        <v>463</v>
      </c>
      <c r="C88" s="6" t="s">
        <v>468</v>
      </c>
      <c r="D88" s="6" t="s">
        <v>110</v>
      </c>
      <c r="E88" s="6" t="s">
        <v>110</v>
      </c>
      <c r="F88" s="5" t="s">
        <v>332</v>
      </c>
      <c r="G88" s="29">
        <v>4</v>
      </c>
      <c r="H88" s="6" t="s">
        <v>466</v>
      </c>
    </row>
    <row r="89" spans="1:8" x14ac:dyDescent="0.25">
      <c r="A89" s="5">
        <v>84</v>
      </c>
      <c r="B89" s="6" t="s">
        <v>463</v>
      </c>
      <c r="C89" s="6" t="s">
        <v>469</v>
      </c>
      <c r="D89" s="6" t="s">
        <v>460</v>
      </c>
      <c r="E89" s="6" t="s">
        <v>110</v>
      </c>
      <c r="F89" s="5" t="s">
        <v>341</v>
      </c>
      <c r="G89" s="29">
        <v>8</v>
      </c>
      <c r="H89" s="6" t="s">
        <v>466</v>
      </c>
    </row>
    <row r="90" spans="1:8" x14ac:dyDescent="0.25">
      <c r="A90" s="5">
        <v>85</v>
      </c>
      <c r="B90" s="6" t="s">
        <v>463</v>
      </c>
      <c r="C90" s="6" t="s">
        <v>470</v>
      </c>
      <c r="D90" s="6" t="s">
        <v>460</v>
      </c>
      <c r="E90" s="6" t="s">
        <v>110</v>
      </c>
      <c r="F90" s="5" t="s">
        <v>341</v>
      </c>
      <c r="G90" s="29">
        <v>3</v>
      </c>
      <c r="H90" s="6" t="s">
        <v>466</v>
      </c>
    </row>
    <row r="91" spans="1:8" x14ac:dyDescent="0.25">
      <c r="A91" s="5">
        <v>86</v>
      </c>
      <c r="B91" s="6" t="s">
        <v>463</v>
      </c>
      <c r="C91" s="6" t="s">
        <v>471</v>
      </c>
      <c r="D91" s="6" t="s">
        <v>411</v>
      </c>
      <c r="E91" s="6" t="s">
        <v>110</v>
      </c>
      <c r="F91" s="5" t="s">
        <v>341</v>
      </c>
      <c r="G91" s="29">
        <v>3</v>
      </c>
      <c r="H91" s="6" t="s">
        <v>466</v>
      </c>
    </row>
    <row r="92" spans="1:8" x14ac:dyDescent="0.25">
      <c r="A92" s="5">
        <v>87</v>
      </c>
      <c r="B92" s="6" t="s">
        <v>463</v>
      </c>
      <c r="C92" s="6" t="s">
        <v>472</v>
      </c>
      <c r="D92" s="6" t="s">
        <v>473</v>
      </c>
      <c r="E92" s="6" t="s">
        <v>110</v>
      </c>
      <c r="F92" s="5" t="s">
        <v>332</v>
      </c>
      <c r="G92" s="29">
        <v>1</v>
      </c>
      <c r="H92" s="6" t="s">
        <v>403</v>
      </c>
    </row>
    <row r="93" spans="1:8" x14ac:dyDescent="0.25">
      <c r="A93" s="5">
        <v>88</v>
      </c>
      <c r="B93" s="6" t="s">
        <v>474</v>
      </c>
      <c r="C93" s="6" t="s">
        <v>475</v>
      </c>
      <c r="D93" s="6" t="s">
        <v>110</v>
      </c>
      <c r="E93" s="6" t="s">
        <v>110</v>
      </c>
      <c r="F93" s="5" t="s">
        <v>332</v>
      </c>
      <c r="G93" s="29">
        <v>40</v>
      </c>
      <c r="H93" s="6" t="s">
        <v>403</v>
      </c>
    </row>
    <row r="94" spans="1:8" x14ac:dyDescent="0.25">
      <c r="A94" s="5">
        <v>89</v>
      </c>
      <c r="B94" s="6" t="s">
        <v>474</v>
      </c>
      <c r="C94" s="6" t="s">
        <v>476</v>
      </c>
      <c r="D94" s="6" t="s">
        <v>110</v>
      </c>
      <c r="E94" s="6" t="s">
        <v>110</v>
      </c>
      <c r="F94" s="5" t="s">
        <v>477</v>
      </c>
      <c r="G94" s="29">
        <v>5</v>
      </c>
      <c r="H94" s="6" t="s">
        <v>403</v>
      </c>
    </row>
    <row r="95" spans="1:8" x14ac:dyDescent="0.25">
      <c r="A95" s="5">
        <v>90</v>
      </c>
      <c r="B95" s="6" t="s">
        <v>474</v>
      </c>
      <c r="C95" s="6" t="s">
        <v>478</v>
      </c>
      <c r="D95" s="6" t="s">
        <v>110</v>
      </c>
      <c r="E95" s="6" t="s">
        <v>110</v>
      </c>
      <c r="F95" s="5" t="s">
        <v>382</v>
      </c>
      <c r="G95" s="29">
        <v>1</v>
      </c>
      <c r="H95" s="6" t="s">
        <v>403</v>
      </c>
    </row>
  </sheetData>
  <autoFilter ref="A5:H95"/>
  <mergeCells count="3">
    <mergeCell ref="A1:H1"/>
    <mergeCell ref="A2:H2"/>
    <mergeCell ref="A3:H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QC QM</vt:lpstr>
      <vt:lpstr>QC QD-1</vt:lpstr>
      <vt:lpstr>Circuitos</vt:lpstr>
      <vt:lpstr>Eletrodutos</vt:lpstr>
      <vt:lpstr>Eletrocalhas</vt:lpstr>
      <vt:lpstr>Luminotécnico</vt:lpstr>
      <vt:lpstr>Iluminação externa</vt:lpstr>
      <vt:lpstr>Demanda Energisa</vt:lpstr>
      <vt:lpstr>Cargas Energisa</vt:lpstr>
      <vt:lpstr>Carga térmica</vt:lpstr>
      <vt:lpstr>Perfil horário</vt:lpstr>
      <vt:lpstr>Lista de materiais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Dimensiona 5410</dc:creator>
  <dc:title/>
  <dc:subject/>
  <dc:description/>
  <cp:keywords/>
  <cp:category/>
  <cp:lastModifiedBy>Unknown</cp:lastModifiedBy>
  <dcterms:created xsi:type="dcterms:W3CDTF">2026-10-28T14:52:07Z</dcterms:created>
  <dcterms:modified xsi:type="dcterms:W3CDTF">2026-10-28T14:52:07Z</dcterms:modified>
</cp:coreProperties>
</file>