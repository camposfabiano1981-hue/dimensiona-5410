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Demanda Energisa" state="visible" r:id="rId10"/>
    <sheet sheetId="8" name="Cargas Energisa" state="visible" r:id="rId11"/>
    <sheet sheetId="9" name="Carga térmica" state="visible" r:id="rId12"/>
    <sheet sheetId="10" name="Perfil horário" state="visible" r:id="rId13"/>
  </sheets>
  <calcPr calcId="171027" fullCalcOnLoad="1"/>
</workbook>
</file>

<file path=xl/sharedStrings.xml><?xml version="1.0" encoding="utf-8"?>
<sst xmlns="http://schemas.openxmlformats.org/spreadsheetml/2006/main" count="657" uniqueCount="299">
  <si>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</si>
  <si>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</si>
  <si>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20/10/2026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</si>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</sst>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%"/>
    <numFmt numFmtId="166" formatCode="0.000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22195.76</v>
      </c>
      <c r="G6" s="8">
        <v>0.94</v>
      </c>
      <c r="H6" s="7">
        <v>23621.14</v>
      </c>
      <c r="I6" s="8">
        <v>61.99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0.82</v>
      </c>
      <c r="P6" s="7">
        <v>7873.71</v>
      </c>
      <c r="Q6" s="7">
        <v>7873.71</v>
      </c>
      <c r="R6" s="7">
        <v>7873.71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22195.76</v>
      </c>
      <c r="G7" s="9"/>
      <c r="H7" s="10">
        <f>SUM(H6:H6)</f>
        <v>23621.14</v>
      </c>
      <c r="I7" s="9"/>
      <c r="J7" s="9"/>
      <c r="K7" s="9"/>
      <c r="L7" s="9"/>
      <c r="M7" s="9"/>
      <c r="N7" s="9"/>
      <c r="O7" s="9"/>
      <c r="P7" s="10">
        <f>SUM(P6:P6)</f>
        <v>7873.71</v>
      </c>
      <c r="Q7" s="10">
        <f>SUM(Q6:Q6)</f>
        <v>7873.71</v>
      </c>
      <c r="R7" s="10">
        <f>SUM(R6:R6)</f>
        <v>7873.71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23621.14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23621.14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61.99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4.23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2.59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2.14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2.84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2.31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2.41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1.91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2.08</v>
      </c>
      <c r="P17" s="7"/>
      <c r="Q17" s="7">
        <v>600</v>
      </c>
      <c r="R17" s="7"/>
      <c r="S17" s="5" t="s">
        <v>30</v>
      </c>
    </row>
    <row r="18" spans="1:19" x14ac:dyDescent="0.25">
      <c r="A18" s="9" t="s">
        <v>31</v>
      </c>
      <c r="B18" s="9"/>
      <c r="C18" s="9"/>
      <c r="D18" s="9"/>
      <c r="E18" s="9"/>
      <c r="F18" s="10">
        <f>SUM(F6:F17)</f>
        <v>22195.76</v>
      </c>
      <c r="G18" s="9"/>
      <c r="H18" s="10">
        <f>SUM(H6:H17)</f>
        <v>23621.14</v>
      </c>
      <c r="I18" s="9"/>
      <c r="J18" s="9"/>
      <c r="K18" s="9"/>
      <c r="L18" s="9"/>
      <c r="M18" s="9"/>
      <c r="N18" s="9"/>
      <c r="O18" s="9"/>
      <c r="P18" s="10">
        <f>SUM(P6:P17)</f>
        <v>6780.57</v>
      </c>
      <c r="Q18" s="10">
        <f>SUM(Q6:Q17)</f>
        <v>8940</v>
      </c>
      <c r="R18" s="10">
        <f>SUM(R6:R17)</f>
        <v>7900.57</v>
      </c>
      <c r="S18" s="9"/>
    </row>
    <row r="20" spans="1:1" x14ac:dyDescent="0.25">
      <c r="A20" s="11" t="s">
        <v>32</v>
      </c>
    </row>
    <row r="21" spans="1:6" x14ac:dyDescent="0.25">
      <c r="A21" s="12" t="s">
        <v>33</v>
      </c>
      <c r="B21" s="12"/>
      <c r="C21" s="12"/>
      <c r="D21" s="12"/>
      <c r="E21" s="13">
        <f>SUMIF(C6:C17,"&lt;&gt;Distribuição (alimentador de quadro)",H6:H17)</f>
        <v>23621.14</v>
      </c>
      <c r="F21" s="13"/>
    </row>
    <row r="22" spans="1:6" x14ac:dyDescent="0.25">
      <c r="A22" s="12" t="s">
        <v>34</v>
      </c>
      <c r="B22" s="12"/>
      <c r="C22" s="12"/>
      <c r="D22" s="12"/>
      <c r="E22" s="13">
        <f>SUMIF(C6:C17,"Distribuição (alimentador de quadro)",H6:H17)</f>
        <v>0</v>
      </c>
      <c r="F22" s="13"/>
    </row>
    <row r="23" spans="1:6" x14ac:dyDescent="0.25">
      <c r="A23" s="14" t="s">
        <v>35</v>
      </c>
      <c r="B23" s="14"/>
      <c r="C23" s="14"/>
      <c r="D23" s="14"/>
      <c r="E23" s="15">
        <v>1</v>
      </c>
      <c r="F23" s="15"/>
    </row>
    <row r="24" spans="1:6" x14ac:dyDescent="0.25">
      <c r="A24" s="14" t="s">
        <v>36</v>
      </c>
      <c r="B24" s="14"/>
      <c r="C24" s="14"/>
      <c r="D24" s="14"/>
      <c r="E24" s="16"/>
      <c r="F24" s="16"/>
    </row>
    <row r="25" spans="1:6" x14ac:dyDescent="0.25">
      <c r="A25" s="12" t="s">
        <v>37</v>
      </c>
      <c r="B25" s="12"/>
      <c r="C25" s="12"/>
      <c r="D25" s="12"/>
      <c r="E25" s="13">
        <f>IF(N(E24)&gt;0,E24*1000,E23*E21+E22)</f>
        <v>23621.14</v>
      </c>
      <c r="F25" s="13"/>
    </row>
    <row r="26" spans="1:6" x14ac:dyDescent="0.25">
      <c r="A26" s="12" t="s">
        <v>38</v>
      </c>
      <c r="B26" s="12"/>
      <c r="C26" s="12"/>
      <c r="D26" s="12"/>
      <c r="E26" s="17">
        <f>E25/(SQRT(3)*220)</f>
        <v>61.99</v>
      </c>
      <c r="F26" s="17"/>
    </row>
    <row r="27" spans="1:6" x14ac:dyDescent="0.25">
      <c r="A27" s="12" t="s">
        <v>39</v>
      </c>
      <c r="B27" s="12"/>
      <c r="C27" s="12"/>
      <c r="D27" s="12"/>
      <c r="E27" s="18">
        <f>IF(MAX(P18,Q18,R18)&gt;0,(MAX(P18,Q18,R18)-MIN(P18,Q18,R18))/MAX(P18,Q18,R18),0)</f>
        <v>0.24154693103938063</v>
      </c>
      <c r="F27" s="18"/>
    </row>
    <row r="28" spans="1:6" x14ac:dyDescent="0.25">
      <c r="A28" s="12" t="s">
        <v>90</v>
      </c>
      <c r="B28" s="12"/>
      <c r="C28" s="12"/>
      <c r="D28" s="12"/>
      <c r="E28" s="20" t="s">
        <v>91</v>
      </c>
      <c r="F28" s="20"/>
    </row>
    <row r="30" ht="26" customHeight="1" spans="1:19" x14ac:dyDescent="0.25">
      <c r="A30" s="19" t="s">
        <v>40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</sheetData>
  <autoFilter ref="A5:S17"/>
  <mergeCells count="20">
    <mergeCell ref="A1:S1"/>
    <mergeCell ref="A2:S2"/>
    <mergeCell ref="A3:S3"/>
    <mergeCell ref="A21:D21"/>
    <mergeCell ref="E21:F21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30:S30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93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94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95</v>
      </c>
      <c r="M5" s="4" t="s">
        <v>96</v>
      </c>
      <c r="N5" s="3" t="s">
        <v>97</v>
      </c>
      <c r="O5" s="3" t="s">
        <v>12</v>
      </c>
      <c r="P5" s="3" t="s">
        <v>13</v>
      </c>
      <c r="Q5" s="3" t="s">
        <v>98</v>
      </c>
      <c r="R5" s="3" t="s">
        <v>14</v>
      </c>
      <c r="S5" s="3" t="s">
        <v>99</v>
      </c>
      <c r="T5" s="4" t="s">
        <v>15</v>
      </c>
      <c r="U5" s="3" t="s">
        <v>16</v>
      </c>
      <c r="V5" s="3" t="s">
        <v>100</v>
      </c>
      <c r="W5" s="3" t="s">
        <v>17</v>
      </c>
      <c r="X5" s="4" t="s">
        <v>101</v>
      </c>
      <c r="Y5" s="3" t="s">
        <v>21</v>
      </c>
      <c r="Z5" s="4" t="s">
        <v>102</v>
      </c>
    </row>
    <row r="6" spans="1:26" x14ac:dyDescent="0.25">
      <c r="A6" s="5" t="s">
        <v>42</v>
      </c>
      <c r="B6" s="5" t="s">
        <v>103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104</v>
      </c>
      <c r="N6" s="5" t="s">
        <v>105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106</v>
      </c>
      <c r="U6" s="5" t="s">
        <v>29</v>
      </c>
      <c r="V6" s="8">
        <v>3.41</v>
      </c>
      <c r="W6" s="8">
        <v>4.23</v>
      </c>
      <c r="X6" s="6" t="s">
        <v>107</v>
      </c>
      <c r="Y6" s="5" t="s">
        <v>30</v>
      </c>
      <c r="Z6" s="6" t="s">
        <v>108</v>
      </c>
    </row>
    <row r="7" spans="1:26" x14ac:dyDescent="0.25">
      <c r="A7" s="5" t="s">
        <v>49</v>
      </c>
      <c r="B7" s="5" t="s">
        <v>103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104</v>
      </c>
      <c r="N7" s="5" t="s">
        <v>105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106</v>
      </c>
      <c r="U7" s="5" t="s">
        <v>109</v>
      </c>
      <c r="V7" s="8">
        <v>1.77</v>
      </c>
      <c r="W7" s="8">
        <v>2.59</v>
      </c>
      <c r="X7" s="6" t="s">
        <v>110</v>
      </c>
      <c r="Y7" s="5" t="s">
        <v>30</v>
      </c>
      <c r="Z7" s="6" t="s">
        <v>108</v>
      </c>
    </row>
    <row r="8" spans="1:26" x14ac:dyDescent="0.25">
      <c r="A8" s="5" t="s">
        <v>53</v>
      </c>
      <c r="B8" s="5" t="s">
        <v>103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104</v>
      </c>
      <c r="N8" s="5" t="s">
        <v>105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111</v>
      </c>
      <c r="U8" s="5" t="s">
        <v>29</v>
      </c>
      <c r="V8" s="8">
        <v>2.73</v>
      </c>
      <c r="W8" s="8">
        <v>3.56</v>
      </c>
      <c r="X8" s="6" t="s">
        <v>107</v>
      </c>
      <c r="Y8" s="5" t="s">
        <v>30</v>
      </c>
      <c r="Z8" s="6" t="s">
        <v>108</v>
      </c>
    </row>
    <row r="9" spans="1:26" x14ac:dyDescent="0.25">
      <c r="A9" s="5" t="s">
        <v>59</v>
      </c>
      <c r="B9" s="5" t="s">
        <v>103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104</v>
      </c>
      <c r="N9" s="5" t="s">
        <v>105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111</v>
      </c>
      <c r="U9" s="5" t="s">
        <v>109</v>
      </c>
      <c r="V9" s="8">
        <v>1.59</v>
      </c>
      <c r="W9" s="8">
        <v>2.41</v>
      </c>
      <c r="X9" s="6" t="s">
        <v>110</v>
      </c>
      <c r="Y9" s="5" t="s">
        <v>30</v>
      </c>
      <c r="Z9" s="6" t="s">
        <v>108</v>
      </c>
    </row>
    <row r="10" spans="1:26" x14ac:dyDescent="0.25">
      <c r="A10" s="5" t="s">
        <v>62</v>
      </c>
      <c r="B10" s="5" t="s">
        <v>103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104</v>
      </c>
      <c r="N10" s="5" t="s">
        <v>105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111</v>
      </c>
      <c r="U10" s="5" t="s">
        <v>109</v>
      </c>
      <c r="V10" s="8">
        <v>1.32</v>
      </c>
      <c r="W10" s="8">
        <v>2.14</v>
      </c>
      <c r="X10" s="6" t="s">
        <v>110</v>
      </c>
      <c r="Y10" s="5" t="s">
        <v>30</v>
      </c>
      <c r="Z10" s="6" t="s">
        <v>108</v>
      </c>
    </row>
    <row r="11" spans="1:26" x14ac:dyDescent="0.25">
      <c r="A11" s="5" t="s">
        <v>64</v>
      </c>
      <c r="B11" s="5" t="s">
        <v>103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104</v>
      </c>
      <c r="N11" s="5" t="s">
        <v>105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112</v>
      </c>
      <c r="U11" s="5" t="s">
        <v>109</v>
      </c>
      <c r="V11" s="8">
        <v>2.02</v>
      </c>
      <c r="W11" s="8">
        <v>2.84</v>
      </c>
      <c r="X11" s="6" t="s">
        <v>107</v>
      </c>
      <c r="Y11" s="5" t="s">
        <v>30</v>
      </c>
      <c r="Z11" s="6" t="s">
        <v>108</v>
      </c>
    </row>
    <row r="12" spans="1:26" x14ac:dyDescent="0.25">
      <c r="A12" s="5" t="s">
        <v>71</v>
      </c>
      <c r="B12" s="5" t="s">
        <v>103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104</v>
      </c>
      <c r="N12" s="5" t="s">
        <v>105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113</v>
      </c>
      <c r="U12" s="5" t="s">
        <v>114</v>
      </c>
      <c r="V12" s="8">
        <v>1.49</v>
      </c>
      <c r="W12" s="8">
        <v>2.31</v>
      </c>
      <c r="X12" s="6" t="s">
        <v>107</v>
      </c>
      <c r="Y12" s="5" t="s">
        <v>30</v>
      </c>
      <c r="Z12" s="6" t="s">
        <v>108</v>
      </c>
    </row>
    <row r="13" spans="1:26" x14ac:dyDescent="0.25">
      <c r="A13" s="5" t="s">
        <v>77</v>
      </c>
      <c r="B13" s="5" t="s">
        <v>103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104</v>
      </c>
      <c r="N13" s="5" t="s">
        <v>105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115</v>
      </c>
      <c r="U13" s="5" t="s">
        <v>29</v>
      </c>
      <c r="V13" s="8">
        <v>0.98</v>
      </c>
      <c r="W13" s="8">
        <v>1.8</v>
      </c>
      <c r="X13" s="6" t="s">
        <v>107</v>
      </c>
      <c r="Y13" s="5" t="s">
        <v>30</v>
      </c>
      <c r="Z13" s="6" t="s">
        <v>108</v>
      </c>
    </row>
    <row r="14" spans="1:26" x14ac:dyDescent="0.25">
      <c r="A14" s="5" t="s">
        <v>81</v>
      </c>
      <c r="B14" s="5" t="s">
        <v>103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104</v>
      </c>
      <c r="N14" s="5" t="s">
        <v>105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111</v>
      </c>
      <c r="U14" s="5" t="s">
        <v>109</v>
      </c>
      <c r="V14" s="8">
        <v>1.59</v>
      </c>
      <c r="W14" s="8">
        <v>2.41</v>
      </c>
      <c r="X14" s="6" t="s">
        <v>110</v>
      </c>
      <c r="Y14" s="5" t="s">
        <v>30</v>
      </c>
      <c r="Z14" s="6" t="s">
        <v>108</v>
      </c>
    </row>
    <row r="15" spans="1:26" x14ac:dyDescent="0.25">
      <c r="A15" s="5" t="s">
        <v>83</v>
      </c>
      <c r="B15" s="5" t="s">
        <v>103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116</v>
      </c>
      <c r="N15" s="5" t="s">
        <v>117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115</v>
      </c>
      <c r="U15" s="5" t="s">
        <v>109</v>
      </c>
      <c r="V15" s="8">
        <v>0.68</v>
      </c>
      <c r="W15" s="8">
        <v>1.5</v>
      </c>
      <c r="X15" s="6" t="s">
        <v>107</v>
      </c>
      <c r="Y15" s="5" t="s">
        <v>30</v>
      </c>
      <c r="Z15" s="6" t="s">
        <v>108</v>
      </c>
    </row>
    <row r="16" spans="1:26" x14ac:dyDescent="0.25">
      <c r="A16" s="5" t="s">
        <v>86</v>
      </c>
      <c r="B16" s="5" t="s">
        <v>103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104</v>
      </c>
      <c r="N16" s="5" t="s">
        <v>118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106</v>
      </c>
      <c r="U16" s="5" t="s">
        <v>109</v>
      </c>
      <c r="V16" s="8">
        <v>1.09</v>
      </c>
      <c r="W16" s="8">
        <v>1.91</v>
      </c>
      <c r="X16" s="6" t="s">
        <v>119</v>
      </c>
      <c r="Y16" s="5" t="s">
        <v>30</v>
      </c>
      <c r="Z16" s="6" t="s">
        <v>108</v>
      </c>
    </row>
    <row r="17" spans="1:26" x14ac:dyDescent="0.25">
      <c r="A17" s="5" t="s">
        <v>88</v>
      </c>
      <c r="B17" s="5" t="s">
        <v>103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104</v>
      </c>
      <c r="N17" s="5" t="s">
        <v>118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106</v>
      </c>
      <c r="U17" s="5" t="s">
        <v>109</v>
      </c>
      <c r="V17" s="8">
        <v>1.26</v>
      </c>
      <c r="W17" s="8">
        <v>2.08</v>
      </c>
      <c r="X17" s="6" t="s">
        <v>119</v>
      </c>
      <c r="Y17" s="5" t="s">
        <v>30</v>
      </c>
      <c r="Z17" s="6" t="s">
        <v>108</v>
      </c>
    </row>
    <row r="18" spans="1:26" x14ac:dyDescent="0.25">
      <c r="A18" s="5" t="s">
        <v>22</v>
      </c>
      <c r="B18" s="5" t="s">
        <v>120</v>
      </c>
      <c r="C18" s="6" t="s">
        <v>23</v>
      </c>
      <c r="D18" s="6" t="s">
        <v>24</v>
      </c>
      <c r="E18" s="5" t="s">
        <v>25</v>
      </c>
      <c r="F18" s="5" t="s">
        <v>26</v>
      </c>
      <c r="G18" s="21">
        <v>220</v>
      </c>
      <c r="H18" s="7">
        <v>22195.76</v>
      </c>
      <c r="I18" s="8">
        <v>0.94</v>
      </c>
      <c r="J18" s="7">
        <v>23621.14</v>
      </c>
      <c r="K18" s="8">
        <v>61.99</v>
      </c>
      <c r="L18" s="22">
        <v>12</v>
      </c>
      <c r="M18" s="6" t="s">
        <v>116</v>
      </c>
      <c r="N18" s="5" t="s">
        <v>117</v>
      </c>
      <c r="O18" s="8">
        <v>1</v>
      </c>
      <c r="P18" s="8">
        <v>1</v>
      </c>
      <c r="Q18" s="23">
        <v>1</v>
      </c>
      <c r="R18" s="5" t="s">
        <v>27</v>
      </c>
      <c r="S18" s="22">
        <v>67</v>
      </c>
      <c r="T18" s="6" t="s">
        <v>121</v>
      </c>
      <c r="U18" s="5" t="s">
        <v>29</v>
      </c>
      <c r="V18" s="8">
        <v>0.82</v>
      </c>
      <c r="W18" s="8">
        <v>0.82</v>
      </c>
      <c r="X18" s="6" t="s">
        <v>122</v>
      </c>
      <c r="Y18" s="5" t="s">
        <v>30</v>
      </c>
      <c r="Z18" s="6" t="s">
        <v>108</v>
      </c>
    </row>
  </sheetData>
  <autoFilter ref="A5:Z18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124</v>
      </c>
      <c r="B5" s="4" t="s">
        <v>125</v>
      </c>
      <c r="C5" s="3" t="s">
        <v>126</v>
      </c>
      <c r="D5" s="3" t="s">
        <v>127</v>
      </c>
      <c r="E5" s="3" t="s">
        <v>128</v>
      </c>
      <c r="F5" s="3" t="s">
        <v>129</v>
      </c>
      <c r="G5" s="4" t="s">
        <v>130</v>
      </c>
      <c r="H5" s="3" t="s">
        <v>131</v>
      </c>
      <c r="I5" s="3" t="s">
        <v>132</v>
      </c>
      <c r="J5" s="3" t="s">
        <v>133</v>
      </c>
      <c r="K5" s="3" t="s">
        <v>134</v>
      </c>
      <c r="L5" s="3" t="s">
        <v>21</v>
      </c>
      <c r="M5" s="4" t="s">
        <v>135</v>
      </c>
    </row>
    <row r="6" spans="1:13" x14ac:dyDescent="0.25">
      <c r="A6" s="6" t="s">
        <v>136</v>
      </c>
      <c r="B6" s="6" t="s">
        <v>137</v>
      </c>
      <c r="C6" s="21">
        <v>9</v>
      </c>
      <c r="D6" s="22">
        <v>82.28</v>
      </c>
      <c r="E6" s="24">
        <v>0.4</v>
      </c>
      <c r="F6" s="22">
        <v>16.18</v>
      </c>
      <c r="G6" s="6" t="s">
        <v>107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108</v>
      </c>
    </row>
    <row r="7" spans="1:13" x14ac:dyDescent="0.25">
      <c r="A7" s="6" t="s">
        <v>138</v>
      </c>
      <c r="B7" s="6" t="s">
        <v>139</v>
      </c>
      <c r="C7" s="21">
        <v>12</v>
      </c>
      <c r="D7" s="22">
        <v>145.9</v>
      </c>
      <c r="E7" s="24">
        <v>0.4</v>
      </c>
      <c r="F7" s="22">
        <v>21.55</v>
      </c>
      <c r="G7" s="6" t="s">
        <v>110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108</v>
      </c>
    </row>
    <row r="8" spans="1:13" x14ac:dyDescent="0.25">
      <c r="A8" s="6" t="s">
        <v>140</v>
      </c>
      <c r="B8" s="6" t="s">
        <v>141</v>
      </c>
      <c r="C8" s="21">
        <v>6</v>
      </c>
      <c r="D8" s="22">
        <v>129.24</v>
      </c>
      <c r="E8" s="24">
        <v>0.4</v>
      </c>
      <c r="F8" s="22">
        <v>20.28</v>
      </c>
      <c r="G8" s="6" t="s">
        <v>107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108</v>
      </c>
    </row>
    <row r="9" spans="1:13" x14ac:dyDescent="0.25">
      <c r="A9" s="6" t="s">
        <v>142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107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108</v>
      </c>
    </row>
    <row r="10" spans="1:13" x14ac:dyDescent="0.25">
      <c r="A10" s="6" t="s">
        <v>143</v>
      </c>
      <c r="B10" s="6" t="s">
        <v>22</v>
      </c>
      <c r="C10" s="21">
        <v>5</v>
      </c>
      <c r="D10" s="22">
        <v>354.41</v>
      </c>
      <c r="E10" s="24">
        <v>0.4</v>
      </c>
      <c r="F10" s="22">
        <v>33.59</v>
      </c>
      <c r="G10" s="6" t="s">
        <v>122</v>
      </c>
      <c r="H10" s="22">
        <v>35</v>
      </c>
      <c r="I10" s="25">
        <v>0.36836734693877543</v>
      </c>
      <c r="J10" s="22"/>
      <c r="K10" s="21">
        <v>0</v>
      </c>
      <c r="L10" s="5" t="s">
        <v>30</v>
      </c>
      <c r="M10" s="6" t="s">
        <v>108</v>
      </c>
    </row>
  </sheetData>
  <autoFilter ref="A5:M10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124</v>
      </c>
      <c r="B5" s="4" t="s">
        <v>5</v>
      </c>
      <c r="C5" s="4" t="s">
        <v>125</v>
      </c>
      <c r="D5" s="3" t="s">
        <v>145</v>
      </c>
      <c r="E5" s="3" t="s">
        <v>127</v>
      </c>
      <c r="F5" s="3" t="s">
        <v>146</v>
      </c>
      <c r="G5" s="3" t="s">
        <v>128</v>
      </c>
      <c r="H5" s="3" t="s">
        <v>147</v>
      </c>
      <c r="I5" s="3" t="s">
        <v>148</v>
      </c>
      <c r="J5" s="3" t="s">
        <v>149</v>
      </c>
      <c r="K5" s="3" t="s">
        <v>132</v>
      </c>
      <c r="L5" s="3" t="s">
        <v>150</v>
      </c>
      <c r="M5" s="3" t="s">
        <v>151</v>
      </c>
      <c r="N5" s="3" t="s">
        <v>152</v>
      </c>
      <c r="O5" s="3" t="s">
        <v>153</v>
      </c>
      <c r="P5" s="3" t="s">
        <v>154</v>
      </c>
      <c r="Q5" s="3" t="s">
        <v>21</v>
      </c>
      <c r="R5" s="4" t="s">
        <v>135</v>
      </c>
    </row>
    <row r="6" spans="1:18" x14ac:dyDescent="0.25">
      <c r="A6" s="6" t="s">
        <v>155</v>
      </c>
      <c r="B6" s="6" t="s">
        <v>156</v>
      </c>
      <c r="C6" s="6" t="s">
        <v>157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158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159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161</v>
      </c>
      <c r="B5" s="4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4" t="s">
        <v>167</v>
      </c>
      <c r="H5" s="3" t="s">
        <v>168</v>
      </c>
      <c r="I5" s="3" t="s">
        <v>169</v>
      </c>
      <c r="J5" s="3" t="s">
        <v>170</v>
      </c>
      <c r="K5" s="3" t="s">
        <v>171</v>
      </c>
      <c r="L5" s="3" t="s">
        <v>172</v>
      </c>
      <c r="M5" s="3" t="s">
        <v>173</v>
      </c>
      <c r="N5" s="3" t="s">
        <v>174</v>
      </c>
      <c r="O5" s="3" t="s">
        <v>175</v>
      </c>
      <c r="P5" s="3" t="s">
        <v>176</v>
      </c>
      <c r="Q5" s="3" t="s">
        <v>177</v>
      </c>
      <c r="R5" s="3" t="s">
        <v>178</v>
      </c>
      <c r="S5" s="3" t="s">
        <v>179</v>
      </c>
      <c r="T5" s="3" t="s">
        <v>180</v>
      </c>
      <c r="U5" s="3" t="s">
        <v>181</v>
      </c>
      <c r="V5" s="3" t="s">
        <v>21</v>
      </c>
      <c r="W5" s="4" t="s">
        <v>135</v>
      </c>
    </row>
    <row r="6" spans="1:23" x14ac:dyDescent="0.25">
      <c r="A6" s="6" t="s">
        <v>182</v>
      </c>
      <c r="B6" s="6" t="s">
        <v>183</v>
      </c>
      <c r="C6" s="8">
        <v>16.2</v>
      </c>
      <c r="D6" s="21">
        <v>150</v>
      </c>
      <c r="E6" s="5" t="s">
        <v>29</v>
      </c>
      <c r="F6" s="21">
        <v>80</v>
      </c>
      <c r="G6" s="6" t="s">
        <v>184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185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108</v>
      </c>
    </row>
    <row r="7" spans="1:23" x14ac:dyDescent="0.25">
      <c r="A7" s="6" t="s">
        <v>186</v>
      </c>
      <c r="B7" s="6" t="s">
        <v>187</v>
      </c>
      <c r="C7" s="8">
        <v>10.2</v>
      </c>
      <c r="D7" s="21">
        <v>150</v>
      </c>
      <c r="E7" s="5" t="s">
        <v>29</v>
      </c>
      <c r="F7" s="21">
        <v>80</v>
      </c>
      <c r="G7" s="6" t="s">
        <v>188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185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108</v>
      </c>
    </row>
    <row r="8" spans="1:23" x14ac:dyDescent="0.25">
      <c r="A8" s="6" t="s">
        <v>189</v>
      </c>
      <c r="B8" s="6" t="s">
        <v>190</v>
      </c>
      <c r="C8" s="8">
        <v>8.96</v>
      </c>
      <c r="D8" s="21">
        <v>300</v>
      </c>
      <c r="E8" s="5" t="s">
        <v>29</v>
      </c>
      <c r="F8" s="21">
        <v>80</v>
      </c>
      <c r="G8" s="6" t="s">
        <v>191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192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108</v>
      </c>
    </row>
    <row r="9" spans="1:23" x14ac:dyDescent="0.25">
      <c r="A9" s="6" t="s">
        <v>193</v>
      </c>
      <c r="B9" s="6" t="s">
        <v>194</v>
      </c>
      <c r="C9" s="8">
        <v>8.32</v>
      </c>
      <c r="D9" s="21">
        <v>500</v>
      </c>
      <c r="E9" s="5">
        <v>19</v>
      </c>
      <c r="F9" s="21">
        <v>80</v>
      </c>
      <c r="G9" s="6" t="s">
        <v>195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196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197</v>
      </c>
      <c r="W9" s="6" t="s">
        <v>198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199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200</v>
      </c>
      <c r="B5" s="4" t="s">
        <v>201</v>
      </c>
      <c r="C5" s="4" t="s">
        <v>202</v>
      </c>
      <c r="D5" s="4" t="s">
        <v>203</v>
      </c>
      <c r="E5" s="4" t="s">
        <v>204</v>
      </c>
      <c r="F5" s="4" t="s">
        <v>205</v>
      </c>
      <c r="G5" s="4" t="s">
        <v>206</v>
      </c>
      <c r="H5" s="3" t="s">
        <v>207</v>
      </c>
      <c r="I5" s="3" t="s">
        <v>208</v>
      </c>
      <c r="J5" s="3" t="s">
        <v>209</v>
      </c>
      <c r="K5" s="3" t="s">
        <v>210</v>
      </c>
      <c r="L5" s="3" t="s">
        <v>211</v>
      </c>
      <c r="M5" s="3" t="s">
        <v>212</v>
      </c>
      <c r="N5" s="3" t="s">
        <v>213</v>
      </c>
      <c r="O5" s="3" t="s">
        <v>214</v>
      </c>
      <c r="P5" s="3" t="s">
        <v>215</v>
      </c>
      <c r="Q5" s="3" t="s">
        <v>216</v>
      </c>
      <c r="R5" s="3" t="s">
        <v>5</v>
      </c>
      <c r="S5" s="3" t="s">
        <v>217</v>
      </c>
      <c r="T5" s="3" t="s">
        <v>218</v>
      </c>
      <c r="U5" s="4" t="s">
        <v>219</v>
      </c>
      <c r="V5" s="4" t="s">
        <v>220</v>
      </c>
      <c r="W5" s="4" t="s">
        <v>221</v>
      </c>
      <c r="X5" s="3" t="s">
        <v>222</v>
      </c>
      <c r="Y5" s="3" t="s">
        <v>223</v>
      </c>
      <c r="Z5" s="3" t="s">
        <v>21</v>
      </c>
      <c r="AA5" s="4" t="s">
        <v>135</v>
      </c>
    </row>
    <row r="6" spans="1:27" x14ac:dyDescent="0.25">
      <c r="A6" s="6" t="s">
        <v>224</v>
      </c>
      <c r="B6" s="6" t="s">
        <v>225</v>
      </c>
      <c r="C6" s="6" t="s">
        <v>226</v>
      </c>
      <c r="D6" s="6" t="s">
        <v>227</v>
      </c>
      <c r="E6" s="6" t="s">
        <v>228</v>
      </c>
      <c r="F6" s="6" t="s">
        <v>229</v>
      </c>
      <c r="G6" s="6" t="s">
        <v>230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231</v>
      </c>
      <c r="S6" s="5" t="s">
        <v>232</v>
      </c>
      <c r="T6" s="5" t="s">
        <v>233</v>
      </c>
      <c r="U6" s="6" t="s">
        <v>234</v>
      </c>
      <c r="V6" s="6" t="s">
        <v>235</v>
      </c>
      <c r="W6" s="6" t="s">
        <v>236</v>
      </c>
      <c r="X6" s="5" t="s">
        <v>237</v>
      </c>
      <c r="Y6" s="5" t="s">
        <v>238</v>
      </c>
      <c r="Z6" s="5" t="s">
        <v>30</v>
      </c>
      <c r="AA6" s="6" t="s">
        <v>108</v>
      </c>
    </row>
    <row r="9" spans="1:27" x14ac:dyDescent="0.25">
      <c r="A9" s="28" t="s">
        <v>239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240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200</v>
      </c>
      <c r="B5" s="3" t="s">
        <v>241</v>
      </c>
      <c r="C5" s="4" t="s">
        <v>242</v>
      </c>
      <c r="D5" s="4" t="s">
        <v>4</v>
      </c>
      <c r="E5" s="3" t="s">
        <v>243</v>
      </c>
      <c r="F5" s="4" t="s">
        <v>244</v>
      </c>
      <c r="G5" s="3" t="s">
        <v>245</v>
      </c>
      <c r="H5" s="3" t="s">
        <v>246</v>
      </c>
    </row>
    <row r="6" spans="1:8" x14ac:dyDescent="0.25">
      <c r="A6" s="6" t="s">
        <v>224</v>
      </c>
      <c r="B6" s="5" t="s">
        <v>247</v>
      </c>
      <c r="C6" s="6" t="s">
        <v>248</v>
      </c>
      <c r="D6" s="6" t="s">
        <v>249</v>
      </c>
      <c r="E6" s="21">
        <v>1</v>
      </c>
      <c r="F6" s="6" t="s">
        <v>250</v>
      </c>
      <c r="G6" s="23">
        <v>1.49</v>
      </c>
      <c r="H6" s="23">
        <f>E6*G6</f>
        <v>1.49</v>
      </c>
    </row>
    <row r="7" spans="1:8" x14ac:dyDescent="0.25">
      <c r="A7" s="6" t="s">
        <v>224</v>
      </c>
      <c r="B7" s="5" t="s">
        <v>247</v>
      </c>
      <c r="C7" s="6" t="s">
        <v>248</v>
      </c>
      <c r="D7" s="6" t="s">
        <v>251</v>
      </c>
      <c r="E7" s="21">
        <v>1</v>
      </c>
      <c r="F7" s="6" t="s">
        <v>252</v>
      </c>
      <c r="G7" s="23">
        <v>4.08</v>
      </c>
      <c r="H7" s="23">
        <f>E7*G7</f>
        <v>4.08</v>
      </c>
    </row>
    <row r="8" spans="1:8" x14ac:dyDescent="0.25">
      <c r="A8" s="6" t="s">
        <v>224</v>
      </c>
      <c r="B8" s="5" t="s">
        <v>253</v>
      </c>
      <c r="C8" s="6" t="s">
        <v>254</v>
      </c>
      <c r="D8" s="6" t="s">
        <v>255</v>
      </c>
      <c r="E8" s="21">
        <v>1</v>
      </c>
      <c r="F8" s="6" t="s">
        <v>256</v>
      </c>
      <c r="G8" s="23">
        <v>5.5</v>
      </c>
      <c r="H8" s="23">
        <f>E8*G8</f>
        <v>5.5</v>
      </c>
    </row>
    <row r="9" spans="1:8" x14ac:dyDescent="0.25">
      <c r="A9" s="6" t="s">
        <v>224</v>
      </c>
      <c r="B9" s="5" t="s">
        <v>253</v>
      </c>
      <c r="C9" s="6" t="s">
        <v>254</v>
      </c>
      <c r="D9" s="6" t="s">
        <v>257</v>
      </c>
      <c r="E9" s="21">
        <v>1</v>
      </c>
      <c r="F9" s="6" t="s">
        <v>258</v>
      </c>
      <c r="G9" s="23">
        <v>7.5</v>
      </c>
      <c r="H9" s="23">
        <f>E9*G9</f>
        <v>7.5</v>
      </c>
    </row>
    <row r="10" spans="1:8" x14ac:dyDescent="0.25">
      <c r="A10" s="6" t="s">
        <v>224</v>
      </c>
      <c r="B10" s="5" t="s">
        <v>259</v>
      </c>
      <c r="C10" s="6" t="s">
        <v>260</v>
      </c>
      <c r="D10" s="6" t="s">
        <v>261</v>
      </c>
      <c r="E10" s="21">
        <v>1</v>
      </c>
      <c r="F10" s="6" t="s">
        <v>262</v>
      </c>
      <c r="G10" s="23">
        <v>1.26</v>
      </c>
      <c r="H10" s="23">
        <f>E10*G10</f>
        <v>1.26</v>
      </c>
    </row>
    <row r="11" spans="1:8" x14ac:dyDescent="0.25">
      <c r="A11" s="6" t="s">
        <v>224</v>
      </c>
      <c r="B11" s="5" t="s">
        <v>263</v>
      </c>
      <c r="C11" s="6" t="s">
        <v>264</v>
      </c>
      <c r="D11" s="6" t="s">
        <v>265</v>
      </c>
      <c r="E11" s="21">
        <v>1</v>
      </c>
      <c r="F11" s="6" t="s">
        <v>266</v>
      </c>
      <c r="G11" s="23">
        <v>1.8</v>
      </c>
      <c r="H11" s="23">
        <f>E11*G11</f>
        <v>1.8</v>
      </c>
    </row>
    <row r="12" spans="1:8" x14ac:dyDescent="0.25">
      <c r="A12" s="6" t="s">
        <v>224</v>
      </c>
      <c r="B12" s="5" t="s">
        <v>267</v>
      </c>
      <c r="C12" s="6" t="s">
        <v>268</v>
      </c>
      <c r="D12" s="6" t="s">
        <v>269</v>
      </c>
      <c r="E12" s="21">
        <v>1</v>
      </c>
      <c r="F12" s="6" t="s">
        <v>270</v>
      </c>
      <c r="G12" s="23">
        <v>1.398</v>
      </c>
      <c r="H12" s="23">
        <f>E12*G12</f>
        <v>1.398</v>
      </c>
    </row>
    <row r="13" spans="1:8" x14ac:dyDescent="0.25">
      <c r="A13" s="6" t="s">
        <v>224</v>
      </c>
      <c r="B13" s="5" t="s">
        <v>271</v>
      </c>
      <c r="C13" s="6" t="s">
        <v>272</v>
      </c>
      <c r="D13" s="6" t="s">
        <v>273</v>
      </c>
      <c r="E13" s="21">
        <v>1</v>
      </c>
      <c r="F13" s="6" t="s">
        <v>274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161</v>
      </c>
      <c r="B5" s="3" t="s">
        <v>163</v>
      </c>
      <c r="C5" s="3" t="s">
        <v>276</v>
      </c>
      <c r="D5" s="3" t="s">
        <v>277</v>
      </c>
      <c r="E5" s="3" t="s">
        <v>278</v>
      </c>
      <c r="F5" s="3" t="s">
        <v>279</v>
      </c>
      <c r="G5" s="3" t="s">
        <v>280</v>
      </c>
      <c r="H5" s="3" t="s">
        <v>281</v>
      </c>
      <c r="I5" s="3" t="s">
        <v>180</v>
      </c>
      <c r="J5" s="3" t="s">
        <v>282</v>
      </c>
      <c r="K5" s="3" t="s">
        <v>283</v>
      </c>
      <c r="L5" s="3" t="s">
        <v>284</v>
      </c>
      <c r="M5" s="3" t="s">
        <v>285</v>
      </c>
      <c r="N5" s="4" t="s">
        <v>286</v>
      </c>
      <c r="O5" s="3" t="s">
        <v>287</v>
      </c>
      <c r="P5" s="4" t="s">
        <v>135</v>
      </c>
    </row>
    <row r="6" spans="1:16" x14ac:dyDescent="0.25">
      <c r="A6" s="6" t="s">
        <v>288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289</v>
      </c>
      <c r="O6" s="7">
        <v>824</v>
      </c>
      <c r="P6" s="6" t="s">
        <v>108</v>
      </c>
    </row>
    <row r="7" spans="1:16" x14ac:dyDescent="0.25">
      <c r="A7" s="6" t="s">
        <v>182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290</v>
      </c>
      <c r="O7" s="7">
        <v>1099</v>
      </c>
      <c r="P7" s="6" t="s">
        <v>108</v>
      </c>
    </row>
    <row r="8" spans="1:16" x14ac:dyDescent="0.25">
      <c r="A8" s="6" t="s">
        <v>193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289</v>
      </c>
      <c r="O8" s="7">
        <v>824</v>
      </c>
      <c r="P8" s="6" t="s">
        <v>108</v>
      </c>
    </row>
    <row r="9" spans="1:16" x14ac:dyDescent="0.25">
      <c r="A9" s="9" t="s">
        <v>291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292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293</v>
      </c>
      <c r="B5" s="3" t="s">
        <v>294</v>
      </c>
      <c r="C5" s="3" t="s">
        <v>295</v>
      </c>
      <c r="D5" s="3" t="s">
        <v>296</v>
      </c>
      <c r="E5" s="3" t="s">
        <v>297</v>
      </c>
      <c r="F5" s="3" t="s">
        <v>298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QC QM</vt:lpstr>
      <vt:lpstr>QC QD-1</vt:lpstr>
      <vt:lpstr>Circuitos</vt:lpstr>
      <vt:lpstr>Eletrodutos</vt:lpstr>
      <vt:lpstr>Eletrocalhas</vt:lpstr>
      <vt:lpstr>Luminotécnico</vt:lpstr>
      <vt:lpstr>Demanda Energisa</vt:lpstr>
      <vt:lpstr>Cargas Energisa</vt:lpstr>
      <vt:lpstr>Carga térmica</vt:lpstr>
      <vt:lpstr>Perfil horário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2026-10-20T01:18:34Z</dcterms:created>
  <dcterms:modified xsi:type="dcterms:W3CDTF">2026-10-20T01:18:34Z</dcterms:modified>
</cp:coreProperties>
</file>