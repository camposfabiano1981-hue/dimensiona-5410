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Iluminação externa" state="visible" r:id="rId10"/>
    <sheet sheetId="8" name="Demanda Energisa" state="visible" r:id="rId11"/>
    <sheet sheetId="9" name="Cargas Energisa" state="visible" r:id="rId12"/>
    <sheet sheetId="10" name="Carga térmica" state="visible" r:id="rId13"/>
    <sheet sheetId="11" name="Perfil horário" state="visible" r:id="rId14"/>
    <sheet sheetId="12" name="Lista de materiais" state="visible" r:id="rId15"/>
  </sheets>
  <calcPr calcId="171027" fullCalcOnLoad="1"/>
</workbook>
</file>

<file path=xl/sharedStrings.xml><?xml version="1.0" encoding="utf-8"?>
<sst xmlns="http://schemas.openxmlformats.org/spreadsheetml/2006/main" count="1182" uniqueCount="459">
  <si>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</si>
  <si>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</si>
  <si>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26/10/2026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</si>
  <si>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</si>
  <si>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</si>
  <si>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</si>
  <si>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</si>
  <si>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</si>
  <si>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</si>
  <si>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</si>
  <si>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</si>
  <si>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</si>
  <si>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</si>
  <si>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</si>
  <si>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</si>
  <si>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</si>
  <si>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</si>
  <si>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</si>
  <si>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</si>
  <si>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</si>
  <si>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</si>
  <si>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</si>
  <si>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</si>
  <si>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</si>
  <si>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</si>
  <si>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</si>
  <si>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</si>
  <si>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</si>
  <si>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</si>
  <si>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</si>
  <si>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</si>
  <si>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</si>
  <si>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</si>
  <si>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</si>
  <si>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</si>
  <si>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</si>
  <si>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</si>
  <si>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</si>
  <si>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</si>
  <si>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</si>
  <si>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</si>
  <si>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</si>
  <si>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</si>
  <si>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</si>
  <si>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</si>
  <si>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</si>
  <si>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</si>
  <si>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</si>
  <si>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</si>
  <si>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</si>
  <si>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</si>
  <si>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</si>
  <si>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</si>
  <si>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</si>
  <si>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</si>
  <si>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</si>
  <si>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</si>
  <si>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</si>
  <si>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</si>
  <si>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</si>
  <si>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</si>
  <si>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</si>
  <si>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</si>
  <si>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</si>
  <si>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</si>
  <si>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</si>
  <si>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</si>
  <si>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</si>
  <si>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</si>
  <si>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</si>
  <si>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</si>
  <si>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</si>
  <si>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</si>
  <si>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</si>
  <si>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</si>
  <si>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</si>
  <si>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</si>
  <si>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</si>
  <si>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</si>
  <si>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</si>
  <si>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</si>
  <si>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</si>
  <si>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</si>
  <si>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</si>
  <si>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</si>
  <si>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</si>
  <si>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</si>
  <si>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</si>
  <si>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</si>
  <si>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</si>
  <si>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13</t>
  </si>
  <si>
    <t>Iluminação externa — estacionamento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</si>
  <si>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</si>
  <si>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</si>
  <si>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</si>
  <si>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</si>
  <si>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</si>
  <si>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</si>
  <si>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</si>
  <si>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</si>
  <si>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</si>
  <si>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</si>
  <si>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</si>
  <si>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</si>
  <si>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</si>
  <si>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</si>
  <si>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</si>
  <si>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</si>
  <si>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</si>
  <si>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</si>
  <si>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</si>
  <si>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</si>
  <si>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</si>
  <si>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</si>
  <si>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</si>
  <si>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</si>
  <si>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</si>
  <si>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</si>
  <si>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</si>
  <si>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</si>
  <si>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</si>
  <si>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</si>
  <si>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PVC rígido roscável DN 20 (1/2")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</si>
  <si>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</si>
  <si>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</si>
  <si>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</si>
  <si>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</si>
  <si>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</si>
  <si>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</si>
  <si>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</si>
  <si>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</si>
  <si>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</si>
  <si>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</si>
  <si>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</si>
  <si>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</si>
  <si>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</si>
  <si>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</si>
  <si>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</si>
  <si>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</si>
  <si>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</si>
  <si>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</si>
  <si>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</si>
  <si>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</si>
  <si>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</si>
  <si>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</si>
  <si>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</si>
  <si>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13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</si>
  <si>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</si>
  <si>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</si>
  <si>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</si>
  <si>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</si>
  <si>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</si>
  <si>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</si>
  <si>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</si>
  <si>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</si>
  <si>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</si>
  <si>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</si>
  <si>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</si>
  <si>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</si>
  <si>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</si>
  <si>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</si>
  <si>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</si>
  <si>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</si>
  <si>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</si>
  <si>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</si>
  <si>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</si>
  <si>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</si>
  <si>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</si>
  <si>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</si>
  <si>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</si>
  <si>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</si>
  <si>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</si>
  <si>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</si>
  <si>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</si>
  <si>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</si>
  <si>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</si>
  <si>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</si>
  <si>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</si>
  <si>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</si>
  <si>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</si>
  <si>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</si>
  <si>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</si>
  <si>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</si>
  <si>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</si>
  <si>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</si>
  <si>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</si>
  <si>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</si>
  <si>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</si>
  <si>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</si>
  <si>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</si>
  <si>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</si>
  <si>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</si>
  <si>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</si>
  <si>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</si>
  <si>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</si>
  <si>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</si>
  <si>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</si>
  <si>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</si>
  <si>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</si>
  <si>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</si>
  <si>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</si>
  <si>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</si>
  <si>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</si>
  <si>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Iluminação de exteriores — método dos lúmens e ponto a ponto (NBR 5101 / EN 12464-2)</t>
  </si>
  <si>
    <t>Área</t>
  </si>
  <si>
    <t>Requisito</t>
  </si>
  <si>
    <t>W (m)</t>
  </si>
  <si>
    <t>Eméd exig. (lx)</t>
  </si>
  <si>
    <t>U0 exig.</t>
  </si>
  <si>
    <t>Projetor</t>
  </si>
  <si>
    <t>Facho (°)</t>
  </si>
  <si>
    <t>Postes</t>
  </si>
  <si>
    <t>h (m)</t>
  </si>
  <si>
    <t>Incl. (°)</t>
  </si>
  <si>
    <t>Fu</t>
  </si>
  <si>
    <t>Fd</t>
  </si>
  <si>
    <t>Eméd pp (lx)</t>
  </si>
  <si>
    <t>U0</t>
  </si>
  <si>
    <t>Estacionamento externo</t>
  </si>
  <si>
    <t>Estacionamento de tráfego médio (escritórios, shoppings)</t>
  </si>
  <si>
    <t>Refletor LED 50 W</t>
  </si>
  <si>
    <t>Postes nos dois lados (frente a frente)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</si>
  <si>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</si>
  <si>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</si>
  <si>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</si>
  <si>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</si>
  <si>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</si>
  <si>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</si>
  <si>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</si>
  <si>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</si>
  <si>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</si>
  <si>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</si>
  <si>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</si>
  <si>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</si>
  <si>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</si>
  <si>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</si>
  <si>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</si>
  <si>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</si>
  <si>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</si>
  <si>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</si>
  <si>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</si>
  <si>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</si>
  <si>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</si>
  <si>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</si>
  <si>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</si>
  <si>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</si>
  <si>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</si>
  <si>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</si>
  <si>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</si>
  <si>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</si>
  <si>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</si>
  <si>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</si>
  <si>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</si>
  <si>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</si>
  <si>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</si>
  <si>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</si>
  <si>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</si>
  <si>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</si>
  <si>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</si>
  <si>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</si>
  <si>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</si>
  <si>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</si>
  <si>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</si>
  <si>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</si>
  <si>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</si>
  <si>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</si>
  <si>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</si>
  <si>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</si>
  <si>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</si>
  <si>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</si>
  <si>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</si>
  <si>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</si>
  <si>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</si>
  <si>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</si>
  <si>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</si>
  <si>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</si>
  <si>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</si>
  <si>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</si>
  <si>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</si>
  <si>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</si>
  <si>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</si>
  <si>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</si>
  <si>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</si>
  <si>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</si>
  <si>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</si>
  <si>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</si>
  <si>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</si>
  <si>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</si>
  <si>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</si>
  <si>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</si>
  <si>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</si>
  <si>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</si>
  <si>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</si>
  <si>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</si>
  <si>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</si>
  <si>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</si>
  <si>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</si>
  <si>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</si>
  <si>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</si>
  <si>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</si>
  <si>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</si>
  <si>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</si>
  <si>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</si>
  <si>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</si>
  <si>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</si>
  <si>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</si>
  <si>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</si>
  <si>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</si>
  <si>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</si>
  <si>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</si>
  <si>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</si>
  <si>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</si>
  <si>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</si>
  <si>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</si>
  <si>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</si>
  <si>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</si>
  <si>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</si>
  <si>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</si>
  <si>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</si>
  <si>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</si>
  <si>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</si>
  <si>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</si>
  <si>
    <t>Lista de materiais</t>
  </si>
  <si>
    <t>Item</t>
  </si>
  <si>
    <t>Descrição / especificação</t>
  </si>
  <si>
    <t>Norma de fabricação</t>
  </si>
  <si>
    <t>Fabricante / ref.</t>
  </si>
  <si>
    <t>Unid.</t>
  </si>
  <si>
    <t>Origem</t>
  </si>
  <si>
    <t>Padrão de entrada</t>
  </si>
  <si>
    <t>Caixa de medição CMI-02 — padrão Energisa (NDU 001), categoria T3</t>
  </si>
  <si>
    <t>Energisa NDU 001</t>
  </si>
  <si>
    <t>un</t>
  </si>
  <si>
    <t>Disjuntor termomagnético geral 3P 70 A — proteção do padrão de entrada</t>
  </si>
  <si>
    <t>ABNT NBR NM 60898 / NBR IEC 60947-2</t>
  </si>
  <si>
    <t>Ramal de entrada: cobre 0,6/1 kV, isolação XLPE/HEPR/EPR 90 °C, embutido: fase 16 mm² e neutro 16 mm²</t>
  </si>
  <si>
    <t>vb</t>
  </si>
  <si>
    <t>Eletroduto do ramal de entrada 1 1/4"</t>
  </si>
  <si>
    <t>Condutores e cabos</t>
  </si>
  <si>
    <t>Condutor isolado 450/750 V, cobre classe 5, PVC 70 °C — 1,5 mm², cor preto (fase)</t>
  </si>
  <si>
    <t>ABNT NBR NM 247-3</t>
  </si>
  <si>
    <t>m</t>
  </si>
  <si>
    <t>1, 11</t>
  </si>
  <si>
    <t>Condutor isolado 450/750 V, cobre classe 5, PVC 70 °C — 1,5 mm², cor vermelho (fase)</t>
  </si>
  <si>
    <t>Condutor isolado 450/750 V, cobre classe 5, PVC 70 °C — 1,5 mm², cor azul-claro (neutro)</t>
  </si>
  <si>
    <t>1, 2, 11</t>
  </si>
  <si>
    <t>Condutor isolado 450/750 V, cobre classe 5, PVC 70 °C — 1,5 mm², cor verde-amarelo (proteção)</t>
  </si>
  <si>
    <t>Condutor isolado 450/750 V, cobre classe 5, PVC 70 °C — 2,5 mm², cor preto (fase)</t>
  </si>
  <si>
    <t>Condutor isolado 450/750 V, cobre classe 5, PVC 70 °C — 2,5 mm², cor vermelho (fase)</t>
  </si>
  <si>
    <t>Condutor isolado 450/750 V, cobre classe 5, PVC 70 °C — 2,5 mm², cor branco (fase)</t>
  </si>
  <si>
    <t>3, 8</t>
  </si>
  <si>
    <t>Condutor isolado 450/750 V, cobre classe 5, PVC 70 °C — 2,5 mm², cor azul-claro (neutro)</t>
  </si>
  <si>
    <t>3, 12</t>
  </si>
  <si>
    <t>Condutor isolado 450/750 V, cobre classe 5, PVC 70 °C — 2,5 mm², cor verde-amarelo (proteção)</t>
  </si>
  <si>
    <t>3, 8, 12</t>
  </si>
  <si>
    <t>Condutor isolado 450/750 V, cobre classe 5, PVC 70 °C — 4 mm², cor preto (fase)</t>
  </si>
  <si>
    <t>4, 6</t>
  </si>
  <si>
    <t>Condutor isolado 450/750 V, cobre classe 5, PVC 70 °C — 4 mm², cor vermelho (fase)</t>
  </si>
  <si>
    <t>5, 6</t>
  </si>
  <si>
    <t>Condutor isolado 450/750 V, cobre classe 5, PVC 70 °C — 4 mm², cor branco (fase)</t>
  </si>
  <si>
    <t>Condutor isolado 450/750 V, cobre classe 5, PVC 70 °C — 4 mm², cor azul-claro (neutro)</t>
  </si>
  <si>
    <t>4, 5, 9</t>
  </si>
  <si>
    <t>Condutor isolado 450/750 V, cobre classe 5, PVC 70 °C — 4 mm², cor verde-amarelo (proteção)</t>
  </si>
  <si>
    <t>4, 5, 6, 9</t>
  </si>
  <si>
    <t>Condutor isolado 450/750 V, cobre classe 5, PVC 70 °C — 10 mm², cor vermelho (fase)</t>
  </si>
  <si>
    <t>Condutor isolado 450/750 V, cobre classe 5, PVC 70 °C — 10 mm², cor branco (fase)</t>
  </si>
  <si>
    <t>Condutor isolado 450/750 V, cobre classe 5, PVC 70 °C — 10 mm², cor verde-amarelo (proteção)</t>
  </si>
  <si>
    <t>Cabo unipolar 0,6/1 kV, cobre classe 5, PVC 70 °C — 1,5 mm², cor branco (fase)</t>
  </si>
  <si>
    <t>ABNT NBR 7288</t>
  </si>
  <si>
    <t>Cabo unipolar 0,6/1 kV, cobre classe 5, PVC 70 °C — 1,5 mm², cor azul-claro (neutro)</t>
  </si>
  <si>
    <t>Cabo unipolar 0,6/1 kV, cobre classe 5, PVC 70 °C — 1,5 mm², cor verde-amarelo (proteção)</t>
  </si>
  <si>
    <t>Cabo unipolar 0,6/1 kV, cobre classe 5, PVC 70 °C — 2,5 mm², cor preto (fase)</t>
  </si>
  <si>
    <t>Cabo unipolar 0,6/1 kV, cobre classe 5, PVC 70 °C — 2,5 mm², cor branco (fase)</t>
  </si>
  <si>
    <t>Cabo unipolar 0,6/1 kV, cobre classe 5, PVC 70 °C — 2,5 mm², cor verde-amarelo (proteção)</t>
  </si>
  <si>
    <t>Cabo unipolar 0,6/1 kV, cobre classe 5, PVC 70 °C — 16 mm², cor preto (fase)</t>
  </si>
  <si>
    <t>Cabo unipolar 0,6/1 kV, cobre classe 5, PVC 70 °C — 16 mm², cor vermelho (fase)</t>
  </si>
  <si>
    <t>Cabo unipolar 0,6/1 kV, cobre classe 5, PVC 70 °C — 16 mm², cor branco (fase)</t>
  </si>
  <si>
    <t>Cabo unipolar 0,6/1 kV, cobre classe 5, PVC 70 °C — 16 mm², cor azul-claro (neutro)</t>
  </si>
  <si>
    <t>Cabo unipolar 0,6/1 kV, cobre classe 5, PVC 70 °C — 16 mm², cor verde-amarelo (proteção)</t>
  </si>
  <si>
    <t>Dispositivos de proteção</t>
  </si>
  <si>
    <t>DPS classe II — Uc 175 V, In 20 kA, Imáx 40 kA</t>
  </si>
  <si>
    <t>ABNT NBR IEC 61643-11</t>
  </si>
  <si>
    <t>QM, QD-1</t>
  </si>
  <si>
    <t>Disjuntor termomagnético 1P curva C 10 A — 6,0 kA</t>
  </si>
  <si>
    <t>ABNT NBR NM 60898</t>
  </si>
  <si>
    <t>1, 2, 11, 12, 13</t>
  </si>
  <si>
    <t>Disjuntor termomagnético 1P curva C 16 A — 6,0 kA</t>
  </si>
  <si>
    <t>3, 4, 5, 9</t>
  </si>
  <si>
    <t>Disjuntor termomagnético 2P curva C 10 A — 6,0 kA</t>
  </si>
  <si>
    <t>8, 10</t>
  </si>
  <si>
    <t>Disjuntor termomagnético 2P curva C 25 A — 6,0 kA</t>
  </si>
  <si>
    <t>Disjuntor termomagnético 2P curva C 40 A — 6,0 kA</t>
  </si>
  <si>
    <t>Disjuntor termomagnético 3P curva C 63 A — 6,0 kA</t>
  </si>
  <si>
    <t>Interruptor diferencial-residual (IDR) 2P 25 A — 30 mA</t>
  </si>
  <si>
    <t>ABNT NBR NM 61008</t>
  </si>
  <si>
    <t>2, 4, 5, 6, 9, 10, 11, 12, 13</t>
  </si>
  <si>
    <t>Interruptor diferencial-residual (IDR) 2P 40 A — 30 mA</t>
  </si>
  <si>
    <t>DPS classe II — 275 V, In 20 kA, Imáx 40 kA</t>
  </si>
  <si>
    <t>cadastro</t>
  </si>
  <si>
    <t>Quadros de distribuição</t>
  </si>
  <si>
    <t>Quadro de distribuição QD-1 (Quadro de distribuição de circuitos) — 48 módulos DIN, com barramentos de fase, neutro e proteção; 13 circuitos + reserva para 4 circuitos (Tabela 59)</t>
  </si>
  <si>
    <t>ABNT NBR IEC 61439-3</t>
  </si>
  <si>
    <t>Barramento de neutro com bornes</t>
  </si>
  <si>
    <t>Barramento de proteção (terra) com bornes</t>
  </si>
  <si>
    <t>Eletrodutos, eletrocalhas e acessórios</t>
  </si>
  <si>
    <t>Eletroduto PVC rígido roscável DN 25 (3/4")</t>
  </si>
  <si>
    <t>ABNT NBR 15465</t>
  </si>
  <si>
    <t>E1, E3, circ. 10</t>
  </si>
  <si>
    <t>Eletroduto PVC rígido roscável DN 32 (1")</t>
  </si>
  <si>
    <t>E2</t>
  </si>
  <si>
    <t>Eletroduto PVC rígido roscável DN 20 (1/2")</t>
  </si>
  <si>
    <t>circ. 13</t>
  </si>
  <si>
    <t>Eletroduto PVC rígido roscável DN 40 (1 1/4")</t>
  </si>
  <si>
    <t>circ. AL-1</t>
  </si>
  <si>
    <t>Perfilado com tampa 38 × 38 mm, com tampa, emendas e acessórios</t>
  </si>
  <si>
    <t>ABNT NBR IEC 61537</t>
  </si>
  <si>
    <t>P1</t>
  </si>
  <si>
    <t>Suporte / suspensão para perfilado com tampa 38 mm</t>
  </si>
  <si>
    <t>Caixas</t>
  </si>
  <si>
    <t>Caixa de embutir 4×2" em PVC</t>
  </si>
  <si>
    <t>ABNT NBR IEC 60670-1</t>
  </si>
  <si>
    <t>Caixa octogonal 4×4" com fundo móvel (laje)</t>
  </si>
  <si>
    <t>Tomadas, interruptores e dispositivos de comando</t>
  </si>
  <si>
    <t>Tomada 2P+T 10 A — 250 V com placa 4×2"</t>
  </si>
  <si>
    <t>ABNT NBR 14136; NBR NM 60884-1</t>
  </si>
  <si>
    <t>Tomada 2P+T 20 A — 250 V com placa 4×2"</t>
  </si>
  <si>
    <t>Interruptor simples 10 A com placa 4×2"</t>
  </si>
  <si>
    <t>ABNT NBR NM 60669-1</t>
  </si>
  <si>
    <t>Interruptor paralelo (three-way) 10 A com placa 4×2"</t>
  </si>
  <si>
    <t>Saída de fio com placa 4×2" (ponto de força, chuveiro)</t>
  </si>
  <si>
    <t>Luminária Ledvance Plafon LED slim quadrado 18 W 4000 K</t>
  </si>
  <si>
    <t>ABNT NBR IEC 60598-1</t>
  </si>
  <si>
    <t>Luminária Philips Plafon LED de sobrepor redondo 18 W 4000 K</t>
  </si>
  <si>
    <t>Luminária Ledvance Downlight LED de embutir 12 W</t>
  </si>
  <si>
    <t>Luminária Lumicenter EF40-E — downlight 17,5 W (EF40-E12000840)</t>
  </si>
  <si>
    <t>Refletor LED 50 W — 5.000 lm, facho 120°, IP65 mín., com braço/suporte</t>
  </si>
  <si>
    <t>ABNT NBR IEC 60598-1 / IEC 60598-2-5</t>
  </si>
  <si>
    <t>Poste de aço galvanizado a fogo, altura útil 7,0 m, com base, chumbadores e caixa de passagem</t>
  </si>
  <si>
    <t>ABNT NBR 14744</t>
  </si>
  <si>
    <t>Relé fotoelétrico (ou temporizador) para comando da iluminação externa</t>
  </si>
  <si>
    <t>ABNT NBR 5123</t>
  </si>
  <si>
    <t>Aterramento e equipotencialização</t>
  </si>
  <si>
    <t>Haste de aterramento aço-cobreada (NBR 13571) — 3/4" × 2,40 m</t>
  </si>
  <si>
    <t>ABNT NBR 13571</t>
  </si>
  <si>
    <t>Padrão de entrada — categoria T3 (NDU 001)</t>
  </si>
  <si>
    <t>Conector cabo–haste (cunha, grampo ou solda exotérmica)</t>
  </si>
  <si>
    <t>ABNT NBR 16254</t>
  </si>
  <si>
    <t>Caixa de inspeção de aterramento com tampa</t>
  </si>
  <si>
    <t>Cabo de cobre nu 16 mm² — interligação das hastes (enterrado a 0,50 m)</t>
  </si>
  <si>
    <t>Condutor de aterramento 16 mm² — da primeira haste ao quadro / BEP</t>
  </si>
  <si>
    <t>Eletroduto de proteção do condutor de aterramento</t>
  </si>
  <si>
    <t>Barramento de equipotencialização principal (BEP) em cobre</t>
  </si>
  <si>
    <t>ABNT NBR 5410 (6.4.2)</t>
  </si>
  <si>
    <t>Materiais diversos</t>
  </si>
  <si>
    <t>Conector de emenda/derivação por alavanca (2 a 5 vias)</t>
  </si>
  <si>
    <t>Fita isolante de PVC 19 mm × 20 m</t>
  </si>
  <si>
    <t>rolo</t>
  </si>
  <si>
    <t>Anilhas/etiquetas de identificação de circuitos</t>
  </si>
  <si>
    <t>cj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</si>
</sst>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0.000"/>
    <numFmt numFmtId="167" formatCode="#,##0.##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  <xf numFmtId="167" fontId="4" fillId="0" borderId="1" xfId="0" applyNumberFormat="1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22395.76</v>
      </c>
      <c r="G6" s="8">
        <v>0.94</v>
      </c>
      <c r="H6" s="7">
        <v>23831.67</v>
      </c>
      <c r="I6" s="8">
        <v>62.54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0.83</v>
      </c>
      <c r="P6" s="7">
        <v>7943.89</v>
      </c>
      <c r="Q6" s="7">
        <v>7943.89</v>
      </c>
      <c r="R6" s="7">
        <v>7943.89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22395.76</v>
      </c>
      <c r="G7" s="9"/>
      <c r="H7" s="10">
        <f>SUM(H6:H6)</f>
        <v>23831.67</v>
      </c>
      <c r="I7" s="9"/>
      <c r="J7" s="9"/>
      <c r="K7" s="9"/>
      <c r="L7" s="9"/>
      <c r="M7" s="9"/>
      <c r="N7" s="9"/>
      <c r="O7" s="9"/>
      <c r="P7" s="10">
        <f>SUM(P6:P6)</f>
        <v>7943.89</v>
      </c>
      <c r="Q7" s="10">
        <f>SUM(Q6:Q6)</f>
        <v>7943.89</v>
      </c>
      <c r="R7" s="10">
        <f>SUM(R6:R6)</f>
        <v>7943.89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23831.67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23831.67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62.54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4.24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2.6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2.15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2.85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2.32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1.81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2.42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1.92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2.09</v>
      </c>
      <c r="P17" s="7"/>
      <c r="Q17" s="7">
        <v>600</v>
      </c>
      <c r="R17" s="7"/>
      <c r="S17" s="5" t="s">
        <v>30</v>
      </c>
    </row>
    <row r="18" spans="1:19" x14ac:dyDescent="0.25">
      <c r="A18" s="5" t="s">
        <v>90</v>
      </c>
      <c r="B18" s="6" t="s">
        <v>91</v>
      </c>
      <c r="C18" s="6" t="s">
        <v>44</v>
      </c>
      <c r="D18" s="5" t="s">
        <v>45</v>
      </c>
      <c r="E18" s="5" t="s">
        <v>56</v>
      </c>
      <c r="F18" s="7">
        <v>200</v>
      </c>
      <c r="G18" s="8">
        <v>0.95</v>
      </c>
      <c r="H18" s="7">
        <v>210.53</v>
      </c>
      <c r="I18" s="8">
        <v>1.66</v>
      </c>
      <c r="J18" s="8">
        <v>1</v>
      </c>
      <c r="K18" s="8">
        <v>1</v>
      </c>
      <c r="L18" s="5" t="s">
        <v>47</v>
      </c>
      <c r="M18" s="5" t="s">
        <v>48</v>
      </c>
      <c r="N18" s="5" t="s">
        <v>52</v>
      </c>
      <c r="O18" s="8">
        <v>2.21</v>
      </c>
      <c r="P18" s="7"/>
      <c r="Q18" s="7"/>
      <c r="R18" s="7">
        <v>210.53</v>
      </c>
      <c r="S18" s="5" t="s">
        <v>30</v>
      </c>
    </row>
    <row r="19" spans="1:19" x14ac:dyDescent="0.25">
      <c r="A19" s="9" t="s">
        <v>31</v>
      </c>
      <c r="B19" s="9"/>
      <c r="C19" s="9"/>
      <c r="D19" s="9"/>
      <c r="E19" s="9"/>
      <c r="F19" s="10">
        <f>SUM(F6:F18)</f>
        <v>22395.76</v>
      </c>
      <c r="G19" s="9"/>
      <c r="H19" s="10">
        <f>SUM(H6:H18)</f>
        <v>23831.67</v>
      </c>
      <c r="I19" s="9"/>
      <c r="J19" s="9"/>
      <c r="K19" s="9"/>
      <c r="L19" s="9"/>
      <c r="M19" s="9"/>
      <c r="N19" s="9"/>
      <c r="O19" s="9"/>
      <c r="P19" s="10">
        <f>SUM(P6:P18)</f>
        <v>6780.57</v>
      </c>
      <c r="Q19" s="10">
        <f>SUM(Q6:Q18)</f>
        <v>8940</v>
      </c>
      <c r="R19" s="10">
        <f>SUM(R6:R18)</f>
        <v>8111.1</v>
      </c>
      <c r="S19" s="9"/>
    </row>
    <row r="21" spans="1:1" x14ac:dyDescent="0.25">
      <c r="A21" s="11" t="s">
        <v>32</v>
      </c>
    </row>
    <row r="22" spans="1:6" x14ac:dyDescent="0.25">
      <c r="A22" s="12" t="s">
        <v>33</v>
      </c>
      <c r="B22" s="12"/>
      <c r="C22" s="12"/>
      <c r="D22" s="12"/>
      <c r="E22" s="13">
        <f>SUMIF(C6:C18,"&lt;&gt;Distribuição (alimentador de quadro)",H6:H18)</f>
        <v>23831.67</v>
      </c>
      <c r="F22" s="13"/>
    </row>
    <row r="23" spans="1:6" x14ac:dyDescent="0.25">
      <c r="A23" s="12" t="s">
        <v>34</v>
      </c>
      <c r="B23" s="12"/>
      <c r="C23" s="12"/>
      <c r="D23" s="12"/>
      <c r="E23" s="13">
        <f>SUMIF(C6:C18,"Distribuição (alimentador de quadro)",H6:H18)</f>
        <v>0</v>
      </c>
      <c r="F23" s="13"/>
    </row>
    <row r="24" spans="1:6" x14ac:dyDescent="0.25">
      <c r="A24" s="14" t="s">
        <v>35</v>
      </c>
      <c r="B24" s="14"/>
      <c r="C24" s="14"/>
      <c r="D24" s="14"/>
      <c r="E24" s="15">
        <v>1</v>
      </c>
      <c r="F24" s="15"/>
    </row>
    <row r="25" spans="1:6" x14ac:dyDescent="0.25">
      <c r="A25" s="14" t="s">
        <v>36</v>
      </c>
      <c r="B25" s="14"/>
      <c r="C25" s="14"/>
      <c r="D25" s="14"/>
      <c r="E25" s="16"/>
      <c r="F25" s="16"/>
    </row>
    <row r="26" spans="1:6" x14ac:dyDescent="0.25">
      <c r="A26" s="12" t="s">
        <v>37</v>
      </c>
      <c r="B26" s="12"/>
      <c r="C26" s="12"/>
      <c r="D26" s="12"/>
      <c r="E26" s="13">
        <f>IF(N(E25)&gt;0,E25*1000,E24*E22+E23)</f>
        <v>23831.67</v>
      </c>
      <c r="F26" s="13"/>
    </row>
    <row r="27" spans="1:6" x14ac:dyDescent="0.25">
      <c r="A27" s="12" t="s">
        <v>38</v>
      </c>
      <c r="B27" s="12"/>
      <c r="C27" s="12"/>
      <c r="D27" s="12"/>
      <c r="E27" s="17">
        <f>E26/(SQRT(3)*220)</f>
        <v>62.54</v>
      </c>
      <c r="F27" s="17"/>
    </row>
    <row r="28" spans="1:6" x14ac:dyDescent="0.25">
      <c r="A28" s="12" t="s">
        <v>39</v>
      </c>
      <c r="B28" s="12"/>
      <c r="C28" s="12"/>
      <c r="D28" s="12"/>
      <c r="E28" s="18">
        <f>IF(MAX(P19,Q19,R19)&gt;0,(MAX(P19,Q19,R19)-MIN(P19,Q19,R19))/MAX(P19,Q19,R19),0)</f>
        <v>0.24154693103938063</v>
      </c>
      <c r="F28" s="18"/>
    </row>
    <row r="29" spans="1:6" x14ac:dyDescent="0.25">
      <c r="A29" s="12" t="s">
        <v>92</v>
      </c>
      <c r="B29" s="12"/>
      <c r="C29" s="12"/>
      <c r="D29" s="12"/>
      <c r="E29" s="20" t="s">
        <v>93</v>
      </c>
      <c r="F29" s="20"/>
    </row>
    <row r="31" ht="26" customHeight="1" spans="1:19" x14ac:dyDescent="0.25">
      <c r="A31" s="19" t="s">
        <v>40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</sheetData>
  <autoFilter ref="A5:S18"/>
  <mergeCells count="20">
    <mergeCell ref="A1:S1"/>
    <mergeCell ref="A2:S2"/>
    <mergeCell ref="A3:S3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29:D29"/>
    <mergeCell ref="E29:F29"/>
    <mergeCell ref="A31:S3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95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96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97</v>
      </c>
      <c r="M5" s="4" t="s">
        <v>98</v>
      </c>
      <c r="N5" s="3" t="s">
        <v>99</v>
      </c>
      <c r="O5" s="3" t="s">
        <v>12</v>
      </c>
      <c r="P5" s="3" t="s">
        <v>13</v>
      </c>
      <c r="Q5" s="3" t="s">
        <v>100</v>
      </c>
      <c r="R5" s="3" t="s">
        <v>14</v>
      </c>
      <c r="S5" s="3" t="s">
        <v>101</v>
      </c>
      <c r="T5" s="4" t="s">
        <v>15</v>
      </c>
      <c r="U5" s="3" t="s">
        <v>16</v>
      </c>
      <c r="V5" s="3" t="s">
        <v>102</v>
      </c>
      <c r="W5" s="3" t="s">
        <v>17</v>
      </c>
      <c r="X5" s="4" t="s">
        <v>103</v>
      </c>
      <c r="Y5" s="3" t="s">
        <v>21</v>
      </c>
      <c r="Z5" s="4" t="s">
        <v>104</v>
      </c>
    </row>
    <row r="6" spans="1:26" x14ac:dyDescent="0.25">
      <c r="A6" s="5" t="s">
        <v>42</v>
      </c>
      <c r="B6" s="5" t="s">
        <v>105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106</v>
      </c>
      <c r="N6" s="5" t="s">
        <v>107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108</v>
      </c>
      <c r="U6" s="5" t="s">
        <v>29</v>
      </c>
      <c r="V6" s="8">
        <v>3.41</v>
      </c>
      <c r="W6" s="8">
        <v>4.24</v>
      </c>
      <c r="X6" s="6" t="s">
        <v>109</v>
      </c>
      <c r="Y6" s="5" t="s">
        <v>30</v>
      </c>
      <c r="Z6" s="6" t="s">
        <v>110</v>
      </c>
    </row>
    <row r="7" spans="1:26" x14ac:dyDescent="0.25">
      <c r="A7" s="5" t="s">
        <v>49</v>
      </c>
      <c r="B7" s="5" t="s">
        <v>105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106</v>
      </c>
      <c r="N7" s="5" t="s">
        <v>107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108</v>
      </c>
      <c r="U7" s="5" t="s">
        <v>111</v>
      </c>
      <c r="V7" s="8">
        <v>1.77</v>
      </c>
      <c r="W7" s="8">
        <v>2.6</v>
      </c>
      <c r="X7" s="6" t="s">
        <v>112</v>
      </c>
      <c r="Y7" s="5" t="s">
        <v>30</v>
      </c>
      <c r="Z7" s="6" t="s">
        <v>110</v>
      </c>
    </row>
    <row r="8" spans="1:26" x14ac:dyDescent="0.25">
      <c r="A8" s="5" t="s">
        <v>53</v>
      </c>
      <c r="B8" s="5" t="s">
        <v>105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106</v>
      </c>
      <c r="N8" s="5" t="s">
        <v>107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113</v>
      </c>
      <c r="U8" s="5" t="s">
        <v>29</v>
      </c>
      <c r="V8" s="8">
        <v>2.73</v>
      </c>
      <c r="W8" s="8">
        <v>3.56</v>
      </c>
      <c r="X8" s="6" t="s">
        <v>109</v>
      </c>
      <c r="Y8" s="5" t="s">
        <v>30</v>
      </c>
      <c r="Z8" s="6" t="s">
        <v>110</v>
      </c>
    </row>
    <row r="9" spans="1:26" x14ac:dyDescent="0.25">
      <c r="A9" s="5" t="s">
        <v>59</v>
      </c>
      <c r="B9" s="5" t="s">
        <v>105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106</v>
      </c>
      <c r="N9" s="5" t="s">
        <v>107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113</v>
      </c>
      <c r="U9" s="5" t="s">
        <v>111</v>
      </c>
      <c r="V9" s="8">
        <v>1.59</v>
      </c>
      <c r="W9" s="8">
        <v>2.41</v>
      </c>
      <c r="X9" s="6" t="s">
        <v>112</v>
      </c>
      <c r="Y9" s="5" t="s">
        <v>30</v>
      </c>
      <c r="Z9" s="6" t="s">
        <v>110</v>
      </c>
    </row>
    <row r="10" spans="1:26" x14ac:dyDescent="0.25">
      <c r="A10" s="5" t="s">
        <v>62</v>
      </c>
      <c r="B10" s="5" t="s">
        <v>105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106</v>
      </c>
      <c r="N10" s="5" t="s">
        <v>107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113</v>
      </c>
      <c r="U10" s="5" t="s">
        <v>111</v>
      </c>
      <c r="V10" s="8">
        <v>1.32</v>
      </c>
      <c r="W10" s="8">
        <v>2.15</v>
      </c>
      <c r="X10" s="6" t="s">
        <v>112</v>
      </c>
      <c r="Y10" s="5" t="s">
        <v>30</v>
      </c>
      <c r="Z10" s="6" t="s">
        <v>110</v>
      </c>
    </row>
    <row r="11" spans="1:26" x14ac:dyDescent="0.25">
      <c r="A11" s="5" t="s">
        <v>64</v>
      </c>
      <c r="B11" s="5" t="s">
        <v>105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106</v>
      </c>
      <c r="N11" s="5" t="s">
        <v>107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114</v>
      </c>
      <c r="U11" s="5" t="s">
        <v>111</v>
      </c>
      <c r="V11" s="8">
        <v>2.02</v>
      </c>
      <c r="W11" s="8">
        <v>2.85</v>
      </c>
      <c r="X11" s="6" t="s">
        <v>109</v>
      </c>
      <c r="Y11" s="5" t="s">
        <v>30</v>
      </c>
      <c r="Z11" s="6" t="s">
        <v>110</v>
      </c>
    </row>
    <row r="12" spans="1:26" x14ac:dyDescent="0.25">
      <c r="A12" s="5" t="s">
        <v>71</v>
      </c>
      <c r="B12" s="5" t="s">
        <v>105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106</v>
      </c>
      <c r="N12" s="5" t="s">
        <v>107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115</v>
      </c>
      <c r="U12" s="5" t="s">
        <v>116</v>
      </c>
      <c r="V12" s="8">
        <v>1.49</v>
      </c>
      <c r="W12" s="8">
        <v>2.32</v>
      </c>
      <c r="X12" s="6" t="s">
        <v>109</v>
      </c>
      <c r="Y12" s="5" t="s">
        <v>30</v>
      </c>
      <c r="Z12" s="6" t="s">
        <v>110</v>
      </c>
    </row>
    <row r="13" spans="1:26" x14ac:dyDescent="0.25">
      <c r="A13" s="5" t="s">
        <v>77</v>
      </c>
      <c r="B13" s="5" t="s">
        <v>105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106</v>
      </c>
      <c r="N13" s="5" t="s">
        <v>107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117</v>
      </c>
      <c r="U13" s="5" t="s">
        <v>29</v>
      </c>
      <c r="V13" s="8">
        <v>0.98</v>
      </c>
      <c r="W13" s="8">
        <v>1.81</v>
      </c>
      <c r="X13" s="6" t="s">
        <v>109</v>
      </c>
      <c r="Y13" s="5" t="s">
        <v>30</v>
      </c>
      <c r="Z13" s="6" t="s">
        <v>110</v>
      </c>
    </row>
    <row r="14" spans="1:26" x14ac:dyDescent="0.25">
      <c r="A14" s="5" t="s">
        <v>81</v>
      </c>
      <c r="B14" s="5" t="s">
        <v>105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106</v>
      </c>
      <c r="N14" s="5" t="s">
        <v>107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113</v>
      </c>
      <c r="U14" s="5" t="s">
        <v>111</v>
      </c>
      <c r="V14" s="8">
        <v>1.59</v>
      </c>
      <c r="W14" s="8">
        <v>2.42</v>
      </c>
      <c r="X14" s="6" t="s">
        <v>112</v>
      </c>
      <c r="Y14" s="5" t="s">
        <v>30</v>
      </c>
      <c r="Z14" s="6" t="s">
        <v>110</v>
      </c>
    </row>
    <row r="15" spans="1:26" x14ac:dyDescent="0.25">
      <c r="A15" s="5" t="s">
        <v>83</v>
      </c>
      <c r="B15" s="5" t="s">
        <v>105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118</v>
      </c>
      <c r="N15" s="5" t="s">
        <v>119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117</v>
      </c>
      <c r="U15" s="5" t="s">
        <v>111</v>
      </c>
      <c r="V15" s="8">
        <v>0.68</v>
      </c>
      <c r="W15" s="8">
        <v>1.5</v>
      </c>
      <c r="X15" s="6" t="s">
        <v>109</v>
      </c>
      <c r="Y15" s="5" t="s">
        <v>30</v>
      </c>
      <c r="Z15" s="6" t="s">
        <v>110</v>
      </c>
    </row>
    <row r="16" spans="1:26" x14ac:dyDescent="0.25">
      <c r="A16" s="5" t="s">
        <v>86</v>
      </c>
      <c r="B16" s="5" t="s">
        <v>105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106</v>
      </c>
      <c r="N16" s="5" t="s">
        <v>120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108</v>
      </c>
      <c r="U16" s="5" t="s">
        <v>111</v>
      </c>
      <c r="V16" s="8">
        <v>1.09</v>
      </c>
      <c r="W16" s="8">
        <v>1.92</v>
      </c>
      <c r="X16" s="6" t="s">
        <v>121</v>
      </c>
      <c r="Y16" s="5" t="s">
        <v>30</v>
      </c>
      <c r="Z16" s="6" t="s">
        <v>110</v>
      </c>
    </row>
    <row r="17" spans="1:26" x14ac:dyDescent="0.25">
      <c r="A17" s="5" t="s">
        <v>88</v>
      </c>
      <c r="B17" s="5" t="s">
        <v>105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106</v>
      </c>
      <c r="N17" s="5" t="s">
        <v>120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108</v>
      </c>
      <c r="U17" s="5" t="s">
        <v>111</v>
      </c>
      <c r="V17" s="8">
        <v>1.26</v>
      </c>
      <c r="W17" s="8">
        <v>2.09</v>
      </c>
      <c r="X17" s="6" t="s">
        <v>121</v>
      </c>
      <c r="Y17" s="5" t="s">
        <v>30</v>
      </c>
      <c r="Z17" s="6" t="s">
        <v>110</v>
      </c>
    </row>
    <row r="18" spans="1:26" x14ac:dyDescent="0.25">
      <c r="A18" s="5" t="s">
        <v>90</v>
      </c>
      <c r="B18" s="5" t="s">
        <v>105</v>
      </c>
      <c r="C18" s="6" t="s">
        <v>91</v>
      </c>
      <c r="D18" s="6" t="s">
        <v>44</v>
      </c>
      <c r="E18" s="5" t="s">
        <v>45</v>
      </c>
      <c r="F18" s="5" t="s">
        <v>56</v>
      </c>
      <c r="G18" s="21">
        <v>127</v>
      </c>
      <c r="H18" s="7">
        <v>200</v>
      </c>
      <c r="I18" s="8">
        <v>0.95</v>
      </c>
      <c r="J18" s="7">
        <v>210.53</v>
      </c>
      <c r="K18" s="8">
        <v>1.66</v>
      </c>
      <c r="L18" s="22">
        <v>35</v>
      </c>
      <c r="M18" s="6" t="s">
        <v>118</v>
      </c>
      <c r="N18" s="5" t="s">
        <v>119</v>
      </c>
      <c r="O18" s="8">
        <v>1</v>
      </c>
      <c r="P18" s="8">
        <v>1</v>
      </c>
      <c r="Q18" s="23">
        <v>1</v>
      </c>
      <c r="R18" s="5" t="s">
        <v>47</v>
      </c>
      <c r="S18" s="22">
        <v>22</v>
      </c>
      <c r="T18" s="6" t="s">
        <v>108</v>
      </c>
      <c r="U18" s="5" t="s">
        <v>111</v>
      </c>
      <c r="V18" s="8">
        <v>1.39</v>
      </c>
      <c r="W18" s="8">
        <v>2.21</v>
      </c>
      <c r="X18" s="6" t="s">
        <v>122</v>
      </c>
      <c r="Y18" s="5" t="s">
        <v>30</v>
      </c>
      <c r="Z18" s="6" t="s">
        <v>110</v>
      </c>
    </row>
    <row r="19" spans="1:26" x14ac:dyDescent="0.25">
      <c r="A19" s="5" t="s">
        <v>22</v>
      </c>
      <c r="B19" s="5" t="s">
        <v>123</v>
      </c>
      <c r="C19" s="6" t="s">
        <v>23</v>
      </c>
      <c r="D19" s="6" t="s">
        <v>24</v>
      </c>
      <c r="E19" s="5" t="s">
        <v>25</v>
      </c>
      <c r="F19" s="5" t="s">
        <v>26</v>
      </c>
      <c r="G19" s="21">
        <v>220</v>
      </c>
      <c r="H19" s="7">
        <v>22395.76</v>
      </c>
      <c r="I19" s="8">
        <v>0.94</v>
      </c>
      <c r="J19" s="7">
        <v>23831.67</v>
      </c>
      <c r="K19" s="8">
        <v>62.54</v>
      </c>
      <c r="L19" s="22">
        <v>12</v>
      </c>
      <c r="M19" s="6" t="s">
        <v>118</v>
      </c>
      <c r="N19" s="5" t="s">
        <v>119</v>
      </c>
      <c r="O19" s="8">
        <v>1</v>
      </c>
      <c r="P19" s="8">
        <v>1</v>
      </c>
      <c r="Q19" s="23">
        <v>1</v>
      </c>
      <c r="R19" s="5" t="s">
        <v>27</v>
      </c>
      <c r="S19" s="22">
        <v>67</v>
      </c>
      <c r="T19" s="6" t="s">
        <v>124</v>
      </c>
      <c r="U19" s="5" t="s">
        <v>29</v>
      </c>
      <c r="V19" s="8">
        <v>0.83</v>
      </c>
      <c r="W19" s="8">
        <v>0.83</v>
      </c>
      <c r="X19" s="6" t="s">
        <v>125</v>
      </c>
      <c r="Y19" s="5" t="s">
        <v>30</v>
      </c>
      <c r="Z19" s="6" t="s">
        <v>110</v>
      </c>
    </row>
  </sheetData>
  <autoFilter ref="A5:Z19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127</v>
      </c>
      <c r="B5" s="4" t="s">
        <v>128</v>
      </c>
      <c r="C5" s="3" t="s">
        <v>129</v>
      </c>
      <c r="D5" s="3" t="s">
        <v>130</v>
      </c>
      <c r="E5" s="3" t="s">
        <v>131</v>
      </c>
      <c r="F5" s="3" t="s">
        <v>132</v>
      </c>
      <c r="G5" s="4" t="s">
        <v>133</v>
      </c>
      <c r="H5" s="3" t="s">
        <v>134</v>
      </c>
      <c r="I5" s="3" t="s">
        <v>135</v>
      </c>
      <c r="J5" s="3" t="s">
        <v>136</v>
      </c>
      <c r="K5" s="3" t="s">
        <v>137</v>
      </c>
      <c r="L5" s="3" t="s">
        <v>21</v>
      </c>
      <c r="M5" s="4" t="s">
        <v>138</v>
      </c>
    </row>
    <row r="6" spans="1:13" x14ac:dyDescent="0.25">
      <c r="A6" s="6" t="s">
        <v>139</v>
      </c>
      <c r="B6" s="6" t="s">
        <v>140</v>
      </c>
      <c r="C6" s="21">
        <v>9</v>
      </c>
      <c r="D6" s="22">
        <v>82.28</v>
      </c>
      <c r="E6" s="24">
        <v>0.4</v>
      </c>
      <c r="F6" s="22">
        <v>16.18</v>
      </c>
      <c r="G6" s="6" t="s">
        <v>109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110</v>
      </c>
    </row>
    <row r="7" spans="1:13" x14ac:dyDescent="0.25">
      <c r="A7" s="6" t="s">
        <v>141</v>
      </c>
      <c r="B7" s="6" t="s">
        <v>142</v>
      </c>
      <c r="C7" s="21">
        <v>12</v>
      </c>
      <c r="D7" s="22">
        <v>145.9</v>
      </c>
      <c r="E7" s="24">
        <v>0.4</v>
      </c>
      <c r="F7" s="22">
        <v>21.55</v>
      </c>
      <c r="G7" s="6" t="s">
        <v>112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110</v>
      </c>
    </row>
    <row r="8" spans="1:13" x14ac:dyDescent="0.25">
      <c r="A8" s="6" t="s">
        <v>143</v>
      </c>
      <c r="B8" s="6" t="s">
        <v>144</v>
      </c>
      <c r="C8" s="21">
        <v>6</v>
      </c>
      <c r="D8" s="22">
        <v>129.24</v>
      </c>
      <c r="E8" s="24">
        <v>0.4</v>
      </c>
      <c r="F8" s="22">
        <v>20.28</v>
      </c>
      <c r="G8" s="6" t="s">
        <v>109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110</v>
      </c>
    </row>
    <row r="9" spans="1:13" x14ac:dyDescent="0.25">
      <c r="A9" s="6" t="s">
        <v>145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109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110</v>
      </c>
    </row>
    <row r="10" spans="1:13" x14ac:dyDescent="0.25">
      <c r="A10" s="6" t="s">
        <v>146</v>
      </c>
      <c r="B10" s="6" t="s">
        <v>90</v>
      </c>
      <c r="C10" s="21">
        <v>3</v>
      </c>
      <c r="D10" s="22">
        <v>68.71</v>
      </c>
      <c r="E10" s="24">
        <v>0.4</v>
      </c>
      <c r="F10" s="22">
        <v>14.79</v>
      </c>
      <c r="G10" s="6" t="s">
        <v>122</v>
      </c>
      <c r="H10" s="22">
        <v>16.1</v>
      </c>
      <c r="I10" s="25">
        <v>0.3374869796689942</v>
      </c>
      <c r="J10" s="22"/>
      <c r="K10" s="21">
        <v>0</v>
      </c>
      <c r="L10" s="5" t="s">
        <v>30</v>
      </c>
      <c r="M10" s="6" t="s">
        <v>110</v>
      </c>
    </row>
    <row r="11" spans="1:13" x14ac:dyDescent="0.25">
      <c r="A11" s="6" t="s">
        <v>147</v>
      </c>
      <c r="B11" s="6" t="s">
        <v>22</v>
      </c>
      <c r="C11" s="21">
        <v>5</v>
      </c>
      <c r="D11" s="22">
        <v>354.41</v>
      </c>
      <c r="E11" s="24">
        <v>0.4</v>
      </c>
      <c r="F11" s="22">
        <v>33.59</v>
      </c>
      <c r="G11" s="6" t="s">
        <v>125</v>
      </c>
      <c r="H11" s="22">
        <v>35</v>
      </c>
      <c r="I11" s="25">
        <v>0.36836734693877543</v>
      </c>
      <c r="J11" s="22"/>
      <c r="K11" s="21">
        <v>0</v>
      </c>
      <c r="L11" s="5" t="s">
        <v>30</v>
      </c>
      <c r="M11" s="6" t="s">
        <v>110</v>
      </c>
    </row>
  </sheetData>
  <autoFilter ref="A5:M11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127</v>
      </c>
      <c r="B5" s="4" t="s">
        <v>5</v>
      </c>
      <c r="C5" s="4" t="s">
        <v>128</v>
      </c>
      <c r="D5" s="3" t="s">
        <v>149</v>
      </c>
      <c r="E5" s="3" t="s">
        <v>130</v>
      </c>
      <c r="F5" s="3" t="s">
        <v>150</v>
      </c>
      <c r="G5" s="3" t="s">
        <v>131</v>
      </c>
      <c r="H5" s="3" t="s">
        <v>151</v>
      </c>
      <c r="I5" s="3" t="s">
        <v>152</v>
      </c>
      <c r="J5" s="3" t="s">
        <v>153</v>
      </c>
      <c r="K5" s="3" t="s">
        <v>135</v>
      </c>
      <c r="L5" s="3" t="s">
        <v>154</v>
      </c>
      <c r="M5" s="3" t="s">
        <v>155</v>
      </c>
      <c r="N5" s="3" t="s">
        <v>156</v>
      </c>
      <c r="O5" s="3" t="s">
        <v>157</v>
      </c>
      <c r="P5" s="3" t="s">
        <v>158</v>
      </c>
      <c r="Q5" s="3" t="s">
        <v>21</v>
      </c>
      <c r="R5" s="4" t="s">
        <v>138</v>
      </c>
    </row>
    <row r="6" spans="1:18" x14ac:dyDescent="0.25">
      <c r="A6" s="6" t="s">
        <v>159</v>
      </c>
      <c r="B6" s="6" t="s">
        <v>160</v>
      </c>
      <c r="C6" s="6" t="s">
        <v>161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162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163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165</v>
      </c>
      <c r="B5" s="4" t="s">
        <v>166</v>
      </c>
      <c r="C5" s="3" t="s">
        <v>167</v>
      </c>
      <c r="D5" s="3" t="s">
        <v>168</v>
      </c>
      <c r="E5" s="3" t="s">
        <v>169</v>
      </c>
      <c r="F5" s="3" t="s">
        <v>170</v>
      </c>
      <c r="G5" s="4" t="s">
        <v>171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  <c r="M5" s="3" t="s">
        <v>177</v>
      </c>
      <c r="N5" s="3" t="s">
        <v>178</v>
      </c>
      <c r="O5" s="3" t="s">
        <v>179</v>
      </c>
      <c r="P5" s="3" t="s">
        <v>180</v>
      </c>
      <c r="Q5" s="3" t="s">
        <v>181</v>
      </c>
      <c r="R5" s="3" t="s">
        <v>182</v>
      </c>
      <c r="S5" s="3" t="s">
        <v>183</v>
      </c>
      <c r="T5" s="3" t="s">
        <v>184</v>
      </c>
      <c r="U5" s="3" t="s">
        <v>185</v>
      </c>
      <c r="V5" s="3" t="s">
        <v>21</v>
      </c>
      <c r="W5" s="4" t="s">
        <v>138</v>
      </c>
    </row>
    <row r="6" spans="1:23" x14ac:dyDescent="0.25">
      <c r="A6" s="6" t="s">
        <v>186</v>
      </c>
      <c r="B6" s="6" t="s">
        <v>187</v>
      </c>
      <c r="C6" s="8">
        <v>16.2</v>
      </c>
      <c r="D6" s="21">
        <v>150</v>
      </c>
      <c r="E6" s="5" t="s">
        <v>29</v>
      </c>
      <c r="F6" s="21">
        <v>80</v>
      </c>
      <c r="G6" s="6" t="s">
        <v>188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189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110</v>
      </c>
    </row>
    <row r="7" spans="1:23" x14ac:dyDescent="0.25">
      <c r="A7" s="6" t="s">
        <v>190</v>
      </c>
      <c r="B7" s="6" t="s">
        <v>191</v>
      </c>
      <c r="C7" s="8">
        <v>10.2</v>
      </c>
      <c r="D7" s="21">
        <v>150</v>
      </c>
      <c r="E7" s="5" t="s">
        <v>29</v>
      </c>
      <c r="F7" s="21">
        <v>80</v>
      </c>
      <c r="G7" s="6" t="s">
        <v>192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189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110</v>
      </c>
    </row>
    <row r="8" spans="1:23" x14ac:dyDescent="0.25">
      <c r="A8" s="6" t="s">
        <v>193</v>
      </c>
      <c r="B8" s="6" t="s">
        <v>194</v>
      </c>
      <c r="C8" s="8">
        <v>8.96</v>
      </c>
      <c r="D8" s="21">
        <v>300</v>
      </c>
      <c r="E8" s="5" t="s">
        <v>29</v>
      </c>
      <c r="F8" s="21">
        <v>80</v>
      </c>
      <c r="G8" s="6" t="s">
        <v>195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196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110</v>
      </c>
    </row>
    <row r="9" spans="1:23" x14ac:dyDescent="0.25">
      <c r="A9" s="6" t="s">
        <v>197</v>
      </c>
      <c r="B9" s="6" t="s">
        <v>198</v>
      </c>
      <c r="C9" s="8">
        <v>8.32</v>
      </c>
      <c r="D9" s="21">
        <v>500</v>
      </c>
      <c r="E9" s="5">
        <v>19</v>
      </c>
      <c r="F9" s="21">
        <v>80</v>
      </c>
      <c r="G9" s="6" t="s">
        <v>199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200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201</v>
      </c>
      <c r="W9" s="6" t="s">
        <v>202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0" customWidth="1"/>
    <col min="3" max="4" width="7" customWidth="1"/>
    <col min="7" max="7" width="7" customWidth="1"/>
    <col min="8" max="8" width="36" customWidth="1"/>
    <col min="9" max="9" width="7" customWidth="1"/>
    <col min="11" max="11" width="7" customWidth="1"/>
    <col min="12" max="12" width="30" customWidth="1"/>
    <col min="13" max="13" width="7" customWidth="1"/>
    <col min="14" max="14" width="6" customWidth="1"/>
    <col min="15" max="15" width="7" customWidth="1"/>
    <col min="16" max="17" width="6" customWidth="1"/>
    <col min="18" max="18" width="7" customWidth="1"/>
    <col min="19" max="19" width="5" customWidth="1"/>
    <col min="22" max="22" width="6" customWidth="1"/>
    <col min="24" max="24" width="8" customWidth="1"/>
    <col min="25" max="25" width="14" customWidth="1"/>
    <col min="26" max="26" width="60" customWidth="1"/>
  </cols>
  <sheetData>
    <row r="1" spans="1:26" x14ac:dyDescent="0.2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4" t="s">
        <v>204</v>
      </c>
      <c r="B5" s="4" t="s">
        <v>205</v>
      </c>
      <c r="C5" s="3" t="s">
        <v>97</v>
      </c>
      <c r="D5" s="3" t="s">
        <v>206</v>
      </c>
      <c r="E5" s="3" t="s">
        <v>167</v>
      </c>
      <c r="F5" s="3" t="s">
        <v>207</v>
      </c>
      <c r="G5" s="3" t="s">
        <v>208</v>
      </c>
      <c r="H5" s="4" t="s">
        <v>209</v>
      </c>
      <c r="I5" s="3" t="s">
        <v>8</v>
      </c>
      <c r="J5" s="3" t="s">
        <v>173</v>
      </c>
      <c r="K5" s="3" t="s">
        <v>210</v>
      </c>
      <c r="L5" s="4" t="s">
        <v>179</v>
      </c>
      <c r="M5" s="3" t="s">
        <v>211</v>
      </c>
      <c r="N5" s="3" t="s">
        <v>212</v>
      </c>
      <c r="O5" s="3" t="s">
        <v>213</v>
      </c>
      <c r="P5" s="3" t="s">
        <v>214</v>
      </c>
      <c r="Q5" s="3" t="s">
        <v>215</v>
      </c>
      <c r="R5" s="3" t="s">
        <v>177</v>
      </c>
      <c r="S5" s="3" t="s">
        <v>178</v>
      </c>
      <c r="T5" s="3" t="s">
        <v>216</v>
      </c>
      <c r="U5" s="3" t="s">
        <v>181</v>
      </c>
      <c r="V5" s="3" t="s">
        <v>217</v>
      </c>
      <c r="W5" s="3" t="s">
        <v>183</v>
      </c>
      <c r="X5" s="3" t="s">
        <v>185</v>
      </c>
      <c r="Y5" s="3" t="s">
        <v>21</v>
      </c>
      <c r="Z5" s="4" t="s">
        <v>138</v>
      </c>
    </row>
    <row r="6" spans="1:26" x14ac:dyDescent="0.25">
      <c r="A6" s="6" t="s">
        <v>218</v>
      </c>
      <c r="B6" s="6" t="s">
        <v>219</v>
      </c>
      <c r="C6" s="22">
        <v>30</v>
      </c>
      <c r="D6" s="22">
        <v>18</v>
      </c>
      <c r="E6" s="7">
        <v>540</v>
      </c>
      <c r="F6" s="21">
        <v>10</v>
      </c>
      <c r="G6" s="8">
        <v>0.25</v>
      </c>
      <c r="H6" s="6" t="s">
        <v>220</v>
      </c>
      <c r="I6" s="21">
        <v>50</v>
      </c>
      <c r="J6" s="7">
        <v>5000</v>
      </c>
      <c r="K6" s="21">
        <v>120</v>
      </c>
      <c r="L6" s="6" t="s">
        <v>221</v>
      </c>
      <c r="M6" s="21">
        <v>4</v>
      </c>
      <c r="N6" s="22">
        <v>7</v>
      </c>
      <c r="O6" s="21">
        <v>40</v>
      </c>
      <c r="P6" s="8">
        <v>0.45</v>
      </c>
      <c r="Q6" s="8">
        <v>0.8</v>
      </c>
      <c r="R6" s="8">
        <v>3</v>
      </c>
      <c r="S6" s="21">
        <v>4</v>
      </c>
      <c r="T6" s="21">
        <v>14</v>
      </c>
      <c r="U6" s="21">
        <v>7</v>
      </c>
      <c r="V6" s="8">
        <v>0.51</v>
      </c>
      <c r="W6" s="7">
        <v>200</v>
      </c>
      <c r="X6" s="5" t="s">
        <v>90</v>
      </c>
      <c r="Y6" s="5" t="s">
        <v>30</v>
      </c>
      <c r="Z6" s="6" t="s">
        <v>110</v>
      </c>
    </row>
  </sheetData>
  <autoFilter ref="A5:Z6"/>
  <mergeCells count="3">
    <mergeCell ref="A1:Z1"/>
    <mergeCell ref="A2:Z2"/>
    <mergeCell ref="A3:Z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222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223</v>
      </c>
      <c r="B5" s="4" t="s">
        <v>224</v>
      </c>
      <c r="C5" s="4" t="s">
        <v>225</v>
      </c>
      <c r="D5" s="4" t="s">
        <v>226</v>
      </c>
      <c r="E5" s="4" t="s">
        <v>227</v>
      </c>
      <c r="F5" s="4" t="s">
        <v>228</v>
      </c>
      <c r="G5" s="4" t="s">
        <v>229</v>
      </c>
      <c r="H5" s="3" t="s">
        <v>230</v>
      </c>
      <c r="I5" s="3" t="s">
        <v>231</v>
      </c>
      <c r="J5" s="3" t="s">
        <v>232</v>
      </c>
      <c r="K5" s="3" t="s">
        <v>233</v>
      </c>
      <c r="L5" s="3" t="s">
        <v>234</v>
      </c>
      <c r="M5" s="3" t="s">
        <v>235</v>
      </c>
      <c r="N5" s="3" t="s">
        <v>236</v>
      </c>
      <c r="O5" s="3" t="s">
        <v>237</v>
      </c>
      <c r="P5" s="3" t="s">
        <v>238</v>
      </c>
      <c r="Q5" s="3" t="s">
        <v>239</v>
      </c>
      <c r="R5" s="3" t="s">
        <v>5</v>
      </c>
      <c r="S5" s="3" t="s">
        <v>240</v>
      </c>
      <c r="T5" s="3" t="s">
        <v>241</v>
      </c>
      <c r="U5" s="4" t="s">
        <v>242</v>
      </c>
      <c r="V5" s="4" t="s">
        <v>243</v>
      </c>
      <c r="W5" s="4" t="s">
        <v>244</v>
      </c>
      <c r="X5" s="3" t="s">
        <v>245</v>
      </c>
      <c r="Y5" s="3" t="s">
        <v>246</v>
      </c>
      <c r="Z5" s="3" t="s">
        <v>21</v>
      </c>
      <c r="AA5" s="4" t="s">
        <v>138</v>
      </c>
    </row>
    <row r="6" spans="1:27" x14ac:dyDescent="0.25">
      <c r="A6" s="6" t="s">
        <v>247</v>
      </c>
      <c r="B6" s="6" t="s">
        <v>248</v>
      </c>
      <c r="C6" s="6" t="s">
        <v>249</v>
      </c>
      <c r="D6" s="6" t="s">
        <v>250</v>
      </c>
      <c r="E6" s="6" t="s">
        <v>251</v>
      </c>
      <c r="F6" s="6" t="s">
        <v>252</v>
      </c>
      <c r="G6" s="6" t="s">
        <v>253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254</v>
      </c>
      <c r="S6" s="5" t="s">
        <v>255</v>
      </c>
      <c r="T6" s="5" t="s">
        <v>256</v>
      </c>
      <c r="U6" s="6" t="s">
        <v>257</v>
      </c>
      <c r="V6" s="6" t="s">
        <v>258</v>
      </c>
      <c r="W6" s="6" t="s">
        <v>259</v>
      </c>
      <c r="X6" s="5" t="s">
        <v>260</v>
      </c>
      <c r="Y6" s="5" t="s">
        <v>261</v>
      </c>
      <c r="Z6" s="5" t="s">
        <v>30</v>
      </c>
      <c r="AA6" s="6" t="s">
        <v>110</v>
      </c>
    </row>
    <row r="9" spans="1:27" x14ac:dyDescent="0.25">
      <c r="A9" s="28" t="s">
        <v>262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263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223</v>
      </c>
      <c r="B5" s="3" t="s">
        <v>264</v>
      </c>
      <c r="C5" s="4" t="s">
        <v>265</v>
      </c>
      <c r="D5" s="4" t="s">
        <v>4</v>
      </c>
      <c r="E5" s="3" t="s">
        <v>266</v>
      </c>
      <c r="F5" s="4" t="s">
        <v>267</v>
      </c>
      <c r="G5" s="3" t="s">
        <v>268</v>
      </c>
      <c r="H5" s="3" t="s">
        <v>269</v>
      </c>
    </row>
    <row r="6" spans="1:8" x14ac:dyDescent="0.25">
      <c r="A6" s="6" t="s">
        <v>247</v>
      </c>
      <c r="B6" s="5" t="s">
        <v>270</v>
      </c>
      <c r="C6" s="6" t="s">
        <v>271</v>
      </c>
      <c r="D6" s="6" t="s">
        <v>272</v>
      </c>
      <c r="E6" s="21">
        <v>1</v>
      </c>
      <c r="F6" s="6" t="s">
        <v>273</v>
      </c>
      <c r="G6" s="23">
        <v>1.49</v>
      </c>
      <c r="H6" s="23">
        <f>E6*G6</f>
        <v>1.49</v>
      </c>
    </row>
    <row r="7" spans="1:8" x14ac:dyDescent="0.25">
      <c r="A7" s="6" t="s">
        <v>247</v>
      </c>
      <c r="B7" s="5" t="s">
        <v>270</v>
      </c>
      <c r="C7" s="6" t="s">
        <v>271</v>
      </c>
      <c r="D7" s="6" t="s">
        <v>274</v>
      </c>
      <c r="E7" s="21">
        <v>1</v>
      </c>
      <c r="F7" s="6" t="s">
        <v>275</v>
      </c>
      <c r="G7" s="23">
        <v>4.08</v>
      </c>
      <c r="H7" s="23">
        <f>E7*G7</f>
        <v>4.08</v>
      </c>
    </row>
    <row r="8" spans="1:8" x14ac:dyDescent="0.25">
      <c r="A8" s="6" t="s">
        <v>247</v>
      </c>
      <c r="B8" s="5" t="s">
        <v>276</v>
      </c>
      <c r="C8" s="6" t="s">
        <v>277</v>
      </c>
      <c r="D8" s="6" t="s">
        <v>278</v>
      </c>
      <c r="E8" s="21">
        <v>1</v>
      </c>
      <c r="F8" s="6" t="s">
        <v>279</v>
      </c>
      <c r="G8" s="23">
        <v>5.5</v>
      </c>
      <c r="H8" s="23">
        <f>E8*G8</f>
        <v>5.5</v>
      </c>
    </row>
    <row r="9" spans="1:8" x14ac:dyDescent="0.25">
      <c r="A9" s="6" t="s">
        <v>247</v>
      </c>
      <c r="B9" s="5" t="s">
        <v>276</v>
      </c>
      <c r="C9" s="6" t="s">
        <v>277</v>
      </c>
      <c r="D9" s="6" t="s">
        <v>280</v>
      </c>
      <c r="E9" s="21">
        <v>1</v>
      </c>
      <c r="F9" s="6" t="s">
        <v>281</v>
      </c>
      <c r="G9" s="23">
        <v>7.5</v>
      </c>
      <c r="H9" s="23">
        <f>E9*G9</f>
        <v>7.5</v>
      </c>
    </row>
    <row r="10" spans="1:8" x14ac:dyDescent="0.25">
      <c r="A10" s="6" t="s">
        <v>247</v>
      </c>
      <c r="B10" s="5" t="s">
        <v>282</v>
      </c>
      <c r="C10" s="6" t="s">
        <v>283</v>
      </c>
      <c r="D10" s="6" t="s">
        <v>284</v>
      </c>
      <c r="E10" s="21">
        <v>1</v>
      </c>
      <c r="F10" s="6" t="s">
        <v>285</v>
      </c>
      <c r="G10" s="23">
        <v>1.26</v>
      </c>
      <c r="H10" s="23">
        <f>E10*G10</f>
        <v>1.26</v>
      </c>
    </row>
    <row r="11" spans="1:8" x14ac:dyDescent="0.25">
      <c r="A11" s="6" t="s">
        <v>247</v>
      </c>
      <c r="B11" s="5" t="s">
        <v>286</v>
      </c>
      <c r="C11" s="6" t="s">
        <v>287</v>
      </c>
      <c r="D11" s="6" t="s">
        <v>288</v>
      </c>
      <c r="E11" s="21">
        <v>1</v>
      </c>
      <c r="F11" s="6" t="s">
        <v>289</v>
      </c>
      <c r="G11" s="23">
        <v>1.8</v>
      </c>
      <c r="H11" s="23">
        <f>E11*G11</f>
        <v>1.8</v>
      </c>
    </row>
    <row r="12" spans="1:8" x14ac:dyDescent="0.25">
      <c r="A12" s="6" t="s">
        <v>247</v>
      </c>
      <c r="B12" s="5" t="s">
        <v>290</v>
      </c>
      <c r="C12" s="6" t="s">
        <v>291</v>
      </c>
      <c r="D12" s="6" t="s">
        <v>292</v>
      </c>
      <c r="E12" s="21">
        <v>1</v>
      </c>
      <c r="F12" s="6" t="s">
        <v>293</v>
      </c>
      <c r="G12" s="23">
        <v>1.398</v>
      </c>
      <c r="H12" s="23">
        <f>E12*G12</f>
        <v>1.398</v>
      </c>
    </row>
    <row r="13" spans="1:8" x14ac:dyDescent="0.25">
      <c r="A13" s="6" t="s">
        <v>247</v>
      </c>
      <c r="B13" s="5" t="s">
        <v>294</v>
      </c>
      <c r="C13" s="6" t="s">
        <v>295</v>
      </c>
      <c r="D13" s="6" t="s">
        <v>296</v>
      </c>
      <c r="E13" s="21">
        <v>1</v>
      </c>
      <c r="F13" s="6" t="s">
        <v>297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165</v>
      </c>
      <c r="B5" s="3" t="s">
        <v>167</v>
      </c>
      <c r="C5" s="3" t="s">
        <v>299</v>
      </c>
      <c r="D5" s="3" t="s">
        <v>300</v>
      </c>
      <c r="E5" s="3" t="s">
        <v>301</v>
      </c>
      <c r="F5" s="3" t="s">
        <v>302</v>
      </c>
      <c r="G5" s="3" t="s">
        <v>303</v>
      </c>
      <c r="H5" s="3" t="s">
        <v>304</v>
      </c>
      <c r="I5" s="3" t="s">
        <v>184</v>
      </c>
      <c r="J5" s="3" t="s">
        <v>305</v>
      </c>
      <c r="K5" s="3" t="s">
        <v>306</v>
      </c>
      <c r="L5" s="3" t="s">
        <v>307</v>
      </c>
      <c r="M5" s="3" t="s">
        <v>308</v>
      </c>
      <c r="N5" s="4" t="s">
        <v>309</v>
      </c>
      <c r="O5" s="3" t="s">
        <v>310</v>
      </c>
      <c r="P5" s="4" t="s">
        <v>138</v>
      </c>
    </row>
    <row r="6" spans="1:16" x14ac:dyDescent="0.25">
      <c r="A6" s="6" t="s">
        <v>311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312</v>
      </c>
      <c r="O6" s="7">
        <v>824</v>
      </c>
      <c r="P6" s="6" t="s">
        <v>110</v>
      </c>
    </row>
    <row r="7" spans="1:16" x14ac:dyDescent="0.25">
      <c r="A7" s="6" t="s">
        <v>186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313</v>
      </c>
      <c r="O7" s="7">
        <v>1099</v>
      </c>
      <c r="P7" s="6" t="s">
        <v>110</v>
      </c>
    </row>
    <row r="8" spans="1:16" x14ac:dyDescent="0.25">
      <c r="A8" s="6" t="s">
        <v>197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312</v>
      </c>
      <c r="O8" s="7">
        <v>824</v>
      </c>
      <c r="P8" s="6" t="s">
        <v>110</v>
      </c>
    </row>
    <row r="9" spans="1:16" x14ac:dyDescent="0.25">
      <c r="A9" s="9" t="s">
        <v>314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315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316</v>
      </c>
      <c r="B5" s="3" t="s">
        <v>317</v>
      </c>
      <c r="C5" s="3" t="s">
        <v>318</v>
      </c>
      <c r="D5" s="3" t="s">
        <v>319</v>
      </c>
      <c r="E5" s="3" t="s">
        <v>320</v>
      </c>
      <c r="F5" s="3" t="s">
        <v>321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62" customWidth="1"/>
    <col min="4" max="4" width="30" customWidth="1"/>
    <col min="5" max="5" width="18" customWidth="1"/>
    <col min="6" max="6" width="7" customWidth="1"/>
    <col min="8" max="8" width="22" customWidth="1"/>
  </cols>
  <sheetData>
    <row r="1" spans="1:8" x14ac:dyDescent="0.25">
      <c r="A1" s="1" t="s">
        <v>322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3" t="s">
        <v>323</v>
      </c>
      <c r="B5" s="4" t="s">
        <v>240</v>
      </c>
      <c r="C5" s="4" t="s">
        <v>324</v>
      </c>
      <c r="D5" s="4" t="s">
        <v>325</v>
      </c>
      <c r="E5" s="4" t="s">
        <v>326</v>
      </c>
      <c r="F5" s="3" t="s">
        <v>327</v>
      </c>
      <c r="G5" s="3" t="s">
        <v>266</v>
      </c>
      <c r="H5" s="4" t="s">
        <v>328</v>
      </c>
    </row>
    <row r="6" spans="1:8" x14ac:dyDescent="0.25">
      <c r="A6" s="5">
        <v>1</v>
      </c>
      <c r="B6" s="6" t="s">
        <v>329</v>
      </c>
      <c r="C6" s="6" t="s">
        <v>330</v>
      </c>
      <c r="D6" s="6" t="s">
        <v>331</v>
      </c>
      <c r="E6" s="6" t="s">
        <v>110</v>
      </c>
      <c r="F6" s="5" t="s">
        <v>332</v>
      </c>
      <c r="G6" s="29">
        <v>1</v>
      </c>
      <c r="H6" s="6" t="s">
        <v>247</v>
      </c>
    </row>
    <row r="7" spans="1:8" x14ac:dyDescent="0.25">
      <c r="A7" s="5">
        <v>2</v>
      </c>
      <c r="B7" s="6" t="s">
        <v>329</v>
      </c>
      <c r="C7" s="6" t="s">
        <v>333</v>
      </c>
      <c r="D7" s="6" t="s">
        <v>334</v>
      </c>
      <c r="E7" s="6" t="s">
        <v>110</v>
      </c>
      <c r="F7" s="5" t="s">
        <v>332</v>
      </c>
      <c r="G7" s="29">
        <v>1</v>
      </c>
      <c r="H7" s="6" t="s">
        <v>247</v>
      </c>
    </row>
    <row r="8" spans="1:8" x14ac:dyDescent="0.25">
      <c r="A8" s="5">
        <v>3</v>
      </c>
      <c r="B8" s="6" t="s">
        <v>329</v>
      </c>
      <c r="C8" s="6" t="s">
        <v>335</v>
      </c>
      <c r="D8" s="6" t="s">
        <v>331</v>
      </c>
      <c r="E8" s="6" t="s">
        <v>110</v>
      </c>
      <c r="F8" s="5" t="s">
        <v>336</v>
      </c>
      <c r="G8" s="29">
        <v>1</v>
      </c>
      <c r="H8" s="6" t="s">
        <v>247</v>
      </c>
    </row>
    <row r="9" spans="1:8" x14ac:dyDescent="0.25">
      <c r="A9" s="5">
        <v>4</v>
      </c>
      <c r="B9" s="6" t="s">
        <v>329</v>
      </c>
      <c r="C9" s="6" t="s">
        <v>337</v>
      </c>
      <c r="D9" s="6" t="s">
        <v>331</v>
      </c>
      <c r="E9" s="6" t="s">
        <v>110</v>
      </c>
      <c r="F9" s="5" t="s">
        <v>336</v>
      </c>
      <c r="G9" s="29">
        <v>1</v>
      </c>
      <c r="H9" s="6" t="s">
        <v>247</v>
      </c>
    </row>
    <row r="10" spans="1:8" x14ac:dyDescent="0.25">
      <c r="A10" s="5">
        <v>5</v>
      </c>
      <c r="B10" s="6" t="s">
        <v>338</v>
      </c>
      <c r="C10" s="6" t="s">
        <v>339</v>
      </c>
      <c r="D10" s="6" t="s">
        <v>340</v>
      </c>
      <c r="E10" s="6" t="s">
        <v>110</v>
      </c>
      <c r="F10" s="5" t="s">
        <v>341</v>
      </c>
      <c r="G10" s="29">
        <v>49</v>
      </c>
      <c r="H10" s="6" t="s">
        <v>342</v>
      </c>
    </row>
    <row r="11" spans="1:8" x14ac:dyDescent="0.25">
      <c r="A11" s="5">
        <v>6</v>
      </c>
      <c r="B11" s="6" t="s">
        <v>338</v>
      </c>
      <c r="C11" s="6" t="s">
        <v>343</v>
      </c>
      <c r="D11" s="6" t="s">
        <v>340</v>
      </c>
      <c r="E11" s="6" t="s">
        <v>110</v>
      </c>
      <c r="F11" s="5" t="s">
        <v>341</v>
      </c>
      <c r="G11" s="29">
        <v>20</v>
      </c>
      <c r="H11" s="6" t="s">
        <v>49</v>
      </c>
    </row>
    <row r="12" spans="1:8" x14ac:dyDescent="0.25">
      <c r="A12" s="5">
        <v>7</v>
      </c>
      <c r="B12" s="6" t="s">
        <v>338</v>
      </c>
      <c r="C12" s="6" t="s">
        <v>344</v>
      </c>
      <c r="D12" s="6" t="s">
        <v>340</v>
      </c>
      <c r="E12" s="6" t="s">
        <v>110</v>
      </c>
      <c r="F12" s="5" t="s">
        <v>341</v>
      </c>
      <c r="G12" s="29">
        <v>69</v>
      </c>
      <c r="H12" s="6" t="s">
        <v>345</v>
      </c>
    </row>
    <row r="13" spans="1:8" x14ac:dyDescent="0.25">
      <c r="A13" s="5">
        <v>8</v>
      </c>
      <c r="B13" s="6" t="s">
        <v>338</v>
      </c>
      <c r="C13" s="6" t="s">
        <v>346</v>
      </c>
      <c r="D13" s="6" t="s">
        <v>340</v>
      </c>
      <c r="E13" s="6" t="s">
        <v>110</v>
      </c>
      <c r="F13" s="5" t="s">
        <v>341</v>
      </c>
      <c r="G13" s="29">
        <v>69</v>
      </c>
      <c r="H13" s="6" t="s">
        <v>345</v>
      </c>
    </row>
    <row r="14" spans="1:8" x14ac:dyDescent="0.25">
      <c r="A14" s="5">
        <v>9</v>
      </c>
      <c r="B14" s="6" t="s">
        <v>338</v>
      </c>
      <c r="C14" s="6" t="s">
        <v>347</v>
      </c>
      <c r="D14" s="6" t="s">
        <v>340</v>
      </c>
      <c r="E14" s="6" t="s">
        <v>110</v>
      </c>
      <c r="F14" s="5" t="s">
        <v>341</v>
      </c>
      <c r="G14" s="29">
        <v>21</v>
      </c>
      <c r="H14" s="6" t="s">
        <v>77</v>
      </c>
    </row>
    <row r="15" spans="1:8" x14ac:dyDescent="0.25">
      <c r="A15" s="5">
        <v>10</v>
      </c>
      <c r="B15" s="6" t="s">
        <v>338</v>
      </c>
      <c r="C15" s="6" t="s">
        <v>348</v>
      </c>
      <c r="D15" s="6" t="s">
        <v>340</v>
      </c>
      <c r="E15" s="6" t="s">
        <v>110</v>
      </c>
      <c r="F15" s="5" t="s">
        <v>341</v>
      </c>
      <c r="G15" s="29">
        <v>25</v>
      </c>
      <c r="H15" s="6" t="s">
        <v>88</v>
      </c>
    </row>
    <row r="16" spans="1:8" x14ac:dyDescent="0.25">
      <c r="A16" s="5">
        <v>11</v>
      </c>
      <c r="B16" s="6" t="s">
        <v>338</v>
      </c>
      <c r="C16" s="6" t="s">
        <v>349</v>
      </c>
      <c r="D16" s="6" t="s">
        <v>340</v>
      </c>
      <c r="E16" s="6" t="s">
        <v>110</v>
      </c>
      <c r="F16" s="5" t="s">
        <v>341</v>
      </c>
      <c r="G16" s="29">
        <v>46</v>
      </c>
      <c r="H16" s="6" t="s">
        <v>350</v>
      </c>
    </row>
    <row r="17" spans="1:8" x14ac:dyDescent="0.25">
      <c r="A17" s="5">
        <v>12</v>
      </c>
      <c r="B17" s="6" t="s">
        <v>338</v>
      </c>
      <c r="C17" s="6" t="s">
        <v>351</v>
      </c>
      <c r="D17" s="6" t="s">
        <v>340</v>
      </c>
      <c r="E17" s="6" t="s">
        <v>110</v>
      </c>
      <c r="F17" s="5" t="s">
        <v>341</v>
      </c>
      <c r="G17" s="29">
        <v>49</v>
      </c>
      <c r="H17" s="6" t="s">
        <v>352</v>
      </c>
    </row>
    <row r="18" spans="1:8" x14ac:dyDescent="0.25">
      <c r="A18" s="5">
        <v>13</v>
      </c>
      <c r="B18" s="6" t="s">
        <v>338</v>
      </c>
      <c r="C18" s="6" t="s">
        <v>353</v>
      </c>
      <c r="D18" s="6" t="s">
        <v>340</v>
      </c>
      <c r="E18" s="6" t="s">
        <v>110</v>
      </c>
      <c r="F18" s="5" t="s">
        <v>341</v>
      </c>
      <c r="G18" s="29">
        <v>70</v>
      </c>
      <c r="H18" s="6" t="s">
        <v>354</v>
      </c>
    </row>
    <row r="19" spans="1:8" x14ac:dyDescent="0.25">
      <c r="A19" s="5">
        <v>14</v>
      </c>
      <c r="B19" s="6" t="s">
        <v>338</v>
      </c>
      <c r="C19" s="6" t="s">
        <v>355</v>
      </c>
      <c r="D19" s="6" t="s">
        <v>340</v>
      </c>
      <c r="E19" s="6" t="s">
        <v>110</v>
      </c>
      <c r="F19" s="5" t="s">
        <v>341</v>
      </c>
      <c r="G19" s="29">
        <v>32</v>
      </c>
      <c r="H19" s="6" t="s">
        <v>356</v>
      </c>
    </row>
    <row r="20" spans="1:8" x14ac:dyDescent="0.25">
      <c r="A20" s="5">
        <v>15</v>
      </c>
      <c r="B20" s="6" t="s">
        <v>338</v>
      </c>
      <c r="C20" s="6" t="s">
        <v>357</v>
      </c>
      <c r="D20" s="6" t="s">
        <v>340</v>
      </c>
      <c r="E20" s="6" t="s">
        <v>110</v>
      </c>
      <c r="F20" s="5" t="s">
        <v>341</v>
      </c>
      <c r="G20" s="29">
        <v>36</v>
      </c>
      <c r="H20" s="6" t="s">
        <v>358</v>
      </c>
    </row>
    <row r="21" spans="1:8" x14ac:dyDescent="0.25">
      <c r="A21" s="5">
        <v>16</v>
      </c>
      <c r="B21" s="6" t="s">
        <v>338</v>
      </c>
      <c r="C21" s="6" t="s">
        <v>359</v>
      </c>
      <c r="D21" s="6" t="s">
        <v>340</v>
      </c>
      <c r="E21" s="6" t="s">
        <v>110</v>
      </c>
      <c r="F21" s="5" t="s">
        <v>341</v>
      </c>
      <c r="G21" s="29">
        <v>14</v>
      </c>
      <c r="H21" s="6" t="s">
        <v>81</v>
      </c>
    </row>
    <row r="22" spans="1:8" x14ac:dyDescent="0.25">
      <c r="A22" s="5">
        <v>17</v>
      </c>
      <c r="B22" s="6" t="s">
        <v>338</v>
      </c>
      <c r="C22" s="6" t="s">
        <v>360</v>
      </c>
      <c r="D22" s="6" t="s">
        <v>340</v>
      </c>
      <c r="E22" s="6" t="s">
        <v>110</v>
      </c>
      <c r="F22" s="5" t="s">
        <v>341</v>
      </c>
      <c r="G22" s="29">
        <v>48</v>
      </c>
      <c r="H22" s="6" t="s">
        <v>361</v>
      </c>
    </row>
    <row r="23" spans="1:8" x14ac:dyDescent="0.25">
      <c r="A23" s="5">
        <v>18</v>
      </c>
      <c r="B23" s="6" t="s">
        <v>338</v>
      </c>
      <c r="C23" s="6" t="s">
        <v>362</v>
      </c>
      <c r="D23" s="6" t="s">
        <v>340</v>
      </c>
      <c r="E23" s="6" t="s">
        <v>110</v>
      </c>
      <c r="F23" s="5" t="s">
        <v>341</v>
      </c>
      <c r="G23" s="29">
        <v>64</v>
      </c>
      <c r="H23" s="6" t="s">
        <v>363</v>
      </c>
    </row>
    <row r="24" spans="1:8" x14ac:dyDescent="0.25">
      <c r="A24" s="5">
        <v>19</v>
      </c>
      <c r="B24" s="6" t="s">
        <v>338</v>
      </c>
      <c r="C24" s="6" t="s">
        <v>364</v>
      </c>
      <c r="D24" s="6" t="s">
        <v>340</v>
      </c>
      <c r="E24" s="6" t="s">
        <v>110</v>
      </c>
      <c r="F24" s="5" t="s">
        <v>341</v>
      </c>
      <c r="G24" s="29">
        <v>24</v>
      </c>
      <c r="H24" s="6" t="s">
        <v>71</v>
      </c>
    </row>
    <row r="25" spans="1:8" x14ac:dyDescent="0.25">
      <c r="A25" s="5">
        <v>20</v>
      </c>
      <c r="B25" s="6" t="s">
        <v>338</v>
      </c>
      <c r="C25" s="6" t="s">
        <v>365</v>
      </c>
      <c r="D25" s="6" t="s">
        <v>340</v>
      </c>
      <c r="E25" s="6" t="s">
        <v>110</v>
      </c>
      <c r="F25" s="5" t="s">
        <v>341</v>
      </c>
      <c r="G25" s="29">
        <v>24</v>
      </c>
      <c r="H25" s="6" t="s">
        <v>71</v>
      </c>
    </row>
    <row r="26" spans="1:8" x14ac:dyDescent="0.25">
      <c r="A26" s="5">
        <v>21</v>
      </c>
      <c r="B26" s="6" t="s">
        <v>338</v>
      </c>
      <c r="C26" s="6" t="s">
        <v>366</v>
      </c>
      <c r="D26" s="6" t="s">
        <v>340</v>
      </c>
      <c r="E26" s="6" t="s">
        <v>110</v>
      </c>
      <c r="F26" s="5" t="s">
        <v>341</v>
      </c>
      <c r="G26" s="29">
        <v>24</v>
      </c>
      <c r="H26" s="6" t="s">
        <v>71</v>
      </c>
    </row>
    <row r="27" spans="1:8" x14ac:dyDescent="0.25">
      <c r="A27" s="5">
        <v>22</v>
      </c>
      <c r="B27" s="6" t="s">
        <v>338</v>
      </c>
      <c r="C27" s="6" t="s">
        <v>367</v>
      </c>
      <c r="D27" s="6" t="s">
        <v>368</v>
      </c>
      <c r="E27" s="6" t="s">
        <v>110</v>
      </c>
      <c r="F27" s="5" t="s">
        <v>341</v>
      </c>
      <c r="G27" s="29">
        <v>39</v>
      </c>
      <c r="H27" s="6" t="s">
        <v>90</v>
      </c>
    </row>
    <row r="28" spans="1:8" x14ac:dyDescent="0.25">
      <c r="A28" s="5">
        <v>23</v>
      </c>
      <c r="B28" s="6" t="s">
        <v>338</v>
      </c>
      <c r="C28" s="6" t="s">
        <v>369</v>
      </c>
      <c r="D28" s="6" t="s">
        <v>368</v>
      </c>
      <c r="E28" s="6" t="s">
        <v>110</v>
      </c>
      <c r="F28" s="5" t="s">
        <v>341</v>
      </c>
      <c r="G28" s="29">
        <v>39</v>
      </c>
      <c r="H28" s="6" t="s">
        <v>90</v>
      </c>
    </row>
    <row r="29" spans="1:8" x14ac:dyDescent="0.25">
      <c r="A29" s="5">
        <v>24</v>
      </c>
      <c r="B29" s="6" t="s">
        <v>338</v>
      </c>
      <c r="C29" s="6" t="s">
        <v>370</v>
      </c>
      <c r="D29" s="6" t="s">
        <v>368</v>
      </c>
      <c r="E29" s="6" t="s">
        <v>110</v>
      </c>
      <c r="F29" s="5" t="s">
        <v>341</v>
      </c>
      <c r="G29" s="29">
        <v>39</v>
      </c>
      <c r="H29" s="6" t="s">
        <v>90</v>
      </c>
    </row>
    <row r="30" spans="1:8" x14ac:dyDescent="0.25">
      <c r="A30" s="5">
        <v>25</v>
      </c>
      <c r="B30" s="6" t="s">
        <v>338</v>
      </c>
      <c r="C30" s="6" t="s">
        <v>371</v>
      </c>
      <c r="D30" s="6" t="s">
        <v>368</v>
      </c>
      <c r="E30" s="6" t="s">
        <v>110</v>
      </c>
      <c r="F30" s="5" t="s">
        <v>341</v>
      </c>
      <c r="G30" s="29">
        <v>31</v>
      </c>
      <c r="H30" s="6" t="s">
        <v>83</v>
      </c>
    </row>
    <row r="31" spans="1:8" x14ac:dyDescent="0.25">
      <c r="A31" s="5">
        <v>26</v>
      </c>
      <c r="B31" s="6" t="s">
        <v>338</v>
      </c>
      <c r="C31" s="6" t="s">
        <v>372</v>
      </c>
      <c r="D31" s="6" t="s">
        <v>368</v>
      </c>
      <c r="E31" s="6" t="s">
        <v>110</v>
      </c>
      <c r="F31" s="5" t="s">
        <v>341</v>
      </c>
      <c r="G31" s="29">
        <v>31</v>
      </c>
      <c r="H31" s="6" t="s">
        <v>83</v>
      </c>
    </row>
    <row r="32" spans="1:8" x14ac:dyDescent="0.25">
      <c r="A32" s="5">
        <v>27</v>
      </c>
      <c r="B32" s="6" t="s">
        <v>338</v>
      </c>
      <c r="C32" s="6" t="s">
        <v>373</v>
      </c>
      <c r="D32" s="6" t="s">
        <v>368</v>
      </c>
      <c r="E32" s="6" t="s">
        <v>110</v>
      </c>
      <c r="F32" s="5" t="s">
        <v>341</v>
      </c>
      <c r="G32" s="29">
        <v>31</v>
      </c>
      <c r="H32" s="6" t="s">
        <v>83</v>
      </c>
    </row>
    <row r="33" spans="1:8" x14ac:dyDescent="0.25">
      <c r="A33" s="5">
        <v>28</v>
      </c>
      <c r="B33" s="6" t="s">
        <v>338</v>
      </c>
      <c r="C33" s="6" t="s">
        <v>374</v>
      </c>
      <c r="D33" s="6" t="s">
        <v>368</v>
      </c>
      <c r="E33" s="6" t="s">
        <v>110</v>
      </c>
      <c r="F33" s="5" t="s">
        <v>341</v>
      </c>
      <c r="G33" s="29">
        <v>14</v>
      </c>
      <c r="H33" s="6" t="s">
        <v>22</v>
      </c>
    </row>
    <row r="34" spans="1:8" x14ac:dyDescent="0.25">
      <c r="A34" s="5">
        <v>29</v>
      </c>
      <c r="B34" s="6" t="s">
        <v>338</v>
      </c>
      <c r="C34" s="6" t="s">
        <v>375</v>
      </c>
      <c r="D34" s="6" t="s">
        <v>368</v>
      </c>
      <c r="E34" s="6" t="s">
        <v>110</v>
      </c>
      <c r="F34" s="5" t="s">
        <v>341</v>
      </c>
      <c r="G34" s="29">
        <v>14</v>
      </c>
      <c r="H34" s="6" t="s">
        <v>22</v>
      </c>
    </row>
    <row r="35" spans="1:8" x14ac:dyDescent="0.25">
      <c r="A35" s="5">
        <v>30</v>
      </c>
      <c r="B35" s="6" t="s">
        <v>338</v>
      </c>
      <c r="C35" s="6" t="s">
        <v>376</v>
      </c>
      <c r="D35" s="6" t="s">
        <v>368</v>
      </c>
      <c r="E35" s="6" t="s">
        <v>110</v>
      </c>
      <c r="F35" s="5" t="s">
        <v>341</v>
      </c>
      <c r="G35" s="29">
        <v>14</v>
      </c>
      <c r="H35" s="6" t="s">
        <v>22</v>
      </c>
    </row>
    <row r="36" spans="1:8" x14ac:dyDescent="0.25">
      <c r="A36" s="5">
        <v>31</v>
      </c>
      <c r="B36" s="6" t="s">
        <v>338</v>
      </c>
      <c r="C36" s="6" t="s">
        <v>377</v>
      </c>
      <c r="D36" s="6" t="s">
        <v>368</v>
      </c>
      <c r="E36" s="6" t="s">
        <v>110</v>
      </c>
      <c r="F36" s="5" t="s">
        <v>341</v>
      </c>
      <c r="G36" s="29">
        <v>14</v>
      </c>
      <c r="H36" s="6" t="s">
        <v>22</v>
      </c>
    </row>
    <row r="37" spans="1:8" x14ac:dyDescent="0.25">
      <c r="A37" s="5">
        <v>32</v>
      </c>
      <c r="B37" s="6" t="s">
        <v>338</v>
      </c>
      <c r="C37" s="6" t="s">
        <v>378</v>
      </c>
      <c r="D37" s="6" t="s">
        <v>368</v>
      </c>
      <c r="E37" s="6" t="s">
        <v>110</v>
      </c>
      <c r="F37" s="5" t="s">
        <v>341</v>
      </c>
      <c r="G37" s="29">
        <v>14</v>
      </c>
      <c r="H37" s="6" t="s">
        <v>22</v>
      </c>
    </row>
    <row r="38" spans="1:8" x14ac:dyDescent="0.25">
      <c r="A38" s="5">
        <v>33</v>
      </c>
      <c r="B38" s="6" t="s">
        <v>379</v>
      </c>
      <c r="C38" s="6" t="s">
        <v>380</v>
      </c>
      <c r="D38" s="6" t="s">
        <v>381</v>
      </c>
      <c r="E38" s="6" t="s">
        <v>110</v>
      </c>
      <c r="F38" s="5" t="s">
        <v>332</v>
      </c>
      <c r="G38" s="29">
        <v>8</v>
      </c>
      <c r="H38" s="6" t="s">
        <v>382</v>
      </c>
    </row>
    <row r="39" spans="1:8" x14ac:dyDescent="0.25">
      <c r="A39" s="5">
        <v>34</v>
      </c>
      <c r="B39" s="6" t="s">
        <v>379</v>
      </c>
      <c r="C39" s="6" t="s">
        <v>383</v>
      </c>
      <c r="D39" s="6" t="s">
        <v>384</v>
      </c>
      <c r="E39" s="6" t="s">
        <v>110</v>
      </c>
      <c r="F39" s="5" t="s">
        <v>332</v>
      </c>
      <c r="G39" s="29">
        <v>5</v>
      </c>
      <c r="H39" s="6" t="s">
        <v>385</v>
      </c>
    </row>
    <row r="40" spans="1:8" x14ac:dyDescent="0.25">
      <c r="A40" s="5">
        <v>35</v>
      </c>
      <c r="B40" s="6" t="s">
        <v>379</v>
      </c>
      <c r="C40" s="6" t="s">
        <v>386</v>
      </c>
      <c r="D40" s="6" t="s">
        <v>384</v>
      </c>
      <c r="E40" s="6" t="s">
        <v>110</v>
      </c>
      <c r="F40" s="5" t="s">
        <v>332</v>
      </c>
      <c r="G40" s="29">
        <v>4</v>
      </c>
      <c r="H40" s="6" t="s">
        <v>387</v>
      </c>
    </row>
    <row r="41" spans="1:8" x14ac:dyDescent="0.25">
      <c r="A41" s="5">
        <v>36</v>
      </c>
      <c r="B41" s="6" t="s">
        <v>379</v>
      </c>
      <c r="C41" s="6" t="s">
        <v>388</v>
      </c>
      <c r="D41" s="6" t="s">
        <v>384</v>
      </c>
      <c r="E41" s="6" t="s">
        <v>110</v>
      </c>
      <c r="F41" s="5" t="s">
        <v>332</v>
      </c>
      <c r="G41" s="29">
        <v>2</v>
      </c>
      <c r="H41" s="6" t="s">
        <v>389</v>
      </c>
    </row>
    <row r="42" spans="1:8" x14ac:dyDescent="0.25">
      <c r="A42" s="5">
        <v>37</v>
      </c>
      <c r="B42" s="6" t="s">
        <v>379</v>
      </c>
      <c r="C42" s="6" t="s">
        <v>390</v>
      </c>
      <c r="D42" s="6" t="s">
        <v>384</v>
      </c>
      <c r="E42" s="6" t="s">
        <v>110</v>
      </c>
      <c r="F42" s="5" t="s">
        <v>332</v>
      </c>
      <c r="G42" s="29">
        <v>1</v>
      </c>
      <c r="H42" s="6" t="s">
        <v>64</v>
      </c>
    </row>
    <row r="43" spans="1:8" x14ac:dyDescent="0.25">
      <c r="A43" s="5">
        <v>38</v>
      </c>
      <c r="B43" s="6" t="s">
        <v>379</v>
      </c>
      <c r="C43" s="6" t="s">
        <v>391</v>
      </c>
      <c r="D43" s="6" t="s">
        <v>384</v>
      </c>
      <c r="E43" s="6" t="s">
        <v>110</v>
      </c>
      <c r="F43" s="5" t="s">
        <v>332</v>
      </c>
      <c r="G43" s="29">
        <v>1</v>
      </c>
      <c r="H43" s="6" t="s">
        <v>71</v>
      </c>
    </row>
    <row r="44" spans="1:8" x14ac:dyDescent="0.25">
      <c r="A44" s="5">
        <v>39</v>
      </c>
      <c r="B44" s="6" t="s">
        <v>379</v>
      </c>
      <c r="C44" s="6" t="s">
        <v>392</v>
      </c>
      <c r="D44" s="6" t="s">
        <v>384</v>
      </c>
      <c r="E44" s="6" t="s">
        <v>110</v>
      </c>
      <c r="F44" s="5" t="s">
        <v>332</v>
      </c>
      <c r="G44" s="29">
        <v>1</v>
      </c>
      <c r="H44" s="6" t="s">
        <v>22</v>
      </c>
    </row>
    <row r="45" spans="1:8" x14ac:dyDescent="0.25">
      <c r="A45" s="5">
        <v>40</v>
      </c>
      <c r="B45" s="6" t="s">
        <v>379</v>
      </c>
      <c r="C45" s="6" t="s">
        <v>393</v>
      </c>
      <c r="D45" s="6" t="s">
        <v>394</v>
      </c>
      <c r="E45" s="6" t="s">
        <v>110</v>
      </c>
      <c r="F45" s="5" t="s">
        <v>332</v>
      </c>
      <c r="G45" s="29">
        <v>9</v>
      </c>
      <c r="H45" s="6" t="s">
        <v>395</v>
      </c>
    </row>
    <row r="46" spans="1:8" x14ac:dyDescent="0.25">
      <c r="A46" s="5">
        <v>41</v>
      </c>
      <c r="B46" s="6" t="s">
        <v>379</v>
      </c>
      <c r="C46" s="6" t="s">
        <v>396</v>
      </c>
      <c r="D46" s="6" t="s">
        <v>394</v>
      </c>
      <c r="E46" s="6" t="s">
        <v>110</v>
      </c>
      <c r="F46" s="5" t="s">
        <v>332</v>
      </c>
      <c r="G46" s="29">
        <v>1</v>
      </c>
      <c r="H46" s="6" t="s">
        <v>71</v>
      </c>
    </row>
    <row r="47" spans="1:8" x14ac:dyDescent="0.25">
      <c r="A47" s="5">
        <v>42</v>
      </c>
      <c r="B47" s="6" t="s">
        <v>379</v>
      </c>
      <c r="C47" s="6" t="s">
        <v>397</v>
      </c>
      <c r="D47" s="6" t="s">
        <v>381</v>
      </c>
      <c r="E47" s="6" t="s">
        <v>110</v>
      </c>
      <c r="F47" s="5" t="s">
        <v>332</v>
      </c>
      <c r="G47" s="29">
        <v>4</v>
      </c>
      <c r="H47" s="6" t="s">
        <v>398</v>
      </c>
    </row>
    <row r="48" spans="1:8" x14ac:dyDescent="0.25">
      <c r="A48" s="5">
        <v>43</v>
      </c>
      <c r="B48" s="6" t="s">
        <v>399</v>
      </c>
      <c r="C48" s="6" t="s">
        <v>400</v>
      </c>
      <c r="D48" s="6" t="s">
        <v>401</v>
      </c>
      <c r="E48" s="6" t="s">
        <v>110</v>
      </c>
      <c r="F48" s="5" t="s">
        <v>332</v>
      </c>
      <c r="G48" s="29">
        <v>1</v>
      </c>
      <c r="H48" s="6" t="s">
        <v>105</v>
      </c>
    </row>
    <row r="49" spans="1:8" x14ac:dyDescent="0.25">
      <c r="A49" s="5">
        <v>44</v>
      </c>
      <c r="B49" s="6" t="s">
        <v>399</v>
      </c>
      <c r="C49" s="6" t="s">
        <v>402</v>
      </c>
      <c r="D49" s="6" t="s">
        <v>401</v>
      </c>
      <c r="E49" s="6" t="s">
        <v>110</v>
      </c>
      <c r="F49" s="5" t="s">
        <v>332</v>
      </c>
      <c r="G49" s="29">
        <v>1</v>
      </c>
      <c r="H49" s="6" t="s">
        <v>398</v>
      </c>
    </row>
    <row r="50" spans="1:8" x14ac:dyDescent="0.25">
      <c r="A50" s="5">
        <v>45</v>
      </c>
      <c r="B50" s="6" t="s">
        <v>399</v>
      </c>
      <c r="C50" s="6" t="s">
        <v>403</v>
      </c>
      <c r="D50" s="6" t="s">
        <v>401</v>
      </c>
      <c r="E50" s="6" t="s">
        <v>110</v>
      </c>
      <c r="F50" s="5" t="s">
        <v>332</v>
      </c>
      <c r="G50" s="29">
        <v>1</v>
      </c>
      <c r="H50" s="6" t="s">
        <v>398</v>
      </c>
    </row>
    <row r="51" spans="1:8" x14ac:dyDescent="0.25">
      <c r="A51" s="5">
        <v>46</v>
      </c>
      <c r="B51" s="6" t="s">
        <v>404</v>
      </c>
      <c r="C51" s="6" t="s">
        <v>405</v>
      </c>
      <c r="D51" s="6" t="s">
        <v>406</v>
      </c>
      <c r="E51" s="6" t="s">
        <v>110</v>
      </c>
      <c r="F51" s="5" t="s">
        <v>341</v>
      </c>
      <c r="G51" s="29">
        <v>51</v>
      </c>
      <c r="H51" s="6" t="s">
        <v>407</v>
      </c>
    </row>
    <row r="52" spans="1:8" x14ac:dyDescent="0.25">
      <c r="A52" s="5">
        <v>47</v>
      </c>
      <c r="B52" s="6" t="s">
        <v>404</v>
      </c>
      <c r="C52" s="6" t="s">
        <v>408</v>
      </c>
      <c r="D52" s="6" t="s">
        <v>406</v>
      </c>
      <c r="E52" s="6" t="s">
        <v>110</v>
      </c>
      <c r="F52" s="5" t="s">
        <v>341</v>
      </c>
      <c r="G52" s="29">
        <v>9</v>
      </c>
      <c r="H52" s="6" t="s">
        <v>409</v>
      </c>
    </row>
    <row r="53" spans="1:8" x14ac:dyDescent="0.25">
      <c r="A53" s="5">
        <v>48</v>
      </c>
      <c r="B53" s="6" t="s">
        <v>404</v>
      </c>
      <c r="C53" s="6" t="s">
        <v>410</v>
      </c>
      <c r="D53" s="6" t="s">
        <v>406</v>
      </c>
      <c r="E53" s="6" t="s">
        <v>110</v>
      </c>
      <c r="F53" s="5" t="s">
        <v>341</v>
      </c>
      <c r="G53" s="29">
        <v>39</v>
      </c>
      <c r="H53" s="6" t="s">
        <v>411</v>
      </c>
    </row>
    <row r="54" spans="1:8" x14ac:dyDescent="0.25">
      <c r="A54" s="5">
        <v>49</v>
      </c>
      <c r="B54" s="6" t="s">
        <v>404</v>
      </c>
      <c r="C54" s="6" t="s">
        <v>412</v>
      </c>
      <c r="D54" s="6" t="s">
        <v>406</v>
      </c>
      <c r="E54" s="6" t="s">
        <v>110</v>
      </c>
      <c r="F54" s="5" t="s">
        <v>341</v>
      </c>
      <c r="G54" s="29">
        <v>14</v>
      </c>
      <c r="H54" s="6" t="s">
        <v>413</v>
      </c>
    </row>
    <row r="55" spans="1:8" x14ac:dyDescent="0.25">
      <c r="A55" s="5">
        <v>50</v>
      </c>
      <c r="B55" s="6" t="s">
        <v>404</v>
      </c>
      <c r="C55" s="6" t="s">
        <v>414</v>
      </c>
      <c r="D55" s="6" t="s">
        <v>415</v>
      </c>
      <c r="E55" s="6" t="s">
        <v>110</v>
      </c>
      <c r="F55" s="5" t="s">
        <v>341</v>
      </c>
      <c r="G55" s="29">
        <v>14</v>
      </c>
      <c r="H55" s="6" t="s">
        <v>416</v>
      </c>
    </row>
    <row r="56" spans="1:8" x14ac:dyDescent="0.25">
      <c r="A56" s="5">
        <v>51</v>
      </c>
      <c r="B56" s="6" t="s">
        <v>404</v>
      </c>
      <c r="C56" s="6" t="s">
        <v>417</v>
      </c>
      <c r="D56" s="6" t="s">
        <v>415</v>
      </c>
      <c r="E56" s="6" t="s">
        <v>110</v>
      </c>
      <c r="F56" s="5" t="s">
        <v>332</v>
      </c>
      <c r="G56" s="29">
        <v>9</v>
      </c>
      <c r="H56" s="6" t="s">
        <v>416</v>
      </c>
    </row>
    <row r="57" spans="1:8" x14ac:dyDescent="0.25">
      <c r="A57" s="5">
        <v>52</v>
      </c>
      <c r="B57" s="6" t="s">
        <v>418</v>
      </c>
      <c r="C57" s="6" t="s">
        <v>419</v>
      </c>
      <c r="D57" s="6" t="s">
        <v>420</v>
      </c>
      <c r="E57" s="6" t="s">
        <v>110</v>
      </c>
      <c r="F57" s="5" t="s">
        <v>332</v>
      </c>
      <c r="G57" s="29">
        <v>30</v>
      </c>
      <c r="H57" s="6" t="s">
        <v>398</v>
      </c>
    </row>
    <row r="58" spans="1:8" x14ac:dyDescent="0.25">
      <c r="A58" s="5">
        <v>53</v>
      </c>
      <c r="B58" s="6" t="s">
        <v>418</v>
      </c>
      <c r="C58" s="6" t="s">
        <v>421</v>
      </c>
      <c r="D58" s="6" t="s">
        <v>420</v>
      </c>
      <c r="E58" s="6" t="s">
        <v>110</v>
      </c>
      <c r="F58" s="5" t="s">
        <v>332</v>
      </c>
      <c r="G58" s="29">
        <v>14</v>
      </c>
      <c r="H58" s="6" t="s">
        <v>398</v>
      </c>
    </row>
    <row r="59" spans="1:8" x14ac:dyDescent="0.25">
      <c r="A59" s="5">
        <v>54</v>
      </c>
      <c r="B59" s="6" t="s">
        <v>422</v>
      </c>
      <c r="C59" s="6" t="s">
        <v>423</v>
      </c>
      <c r="D59" s="6" t="s">
        <v>424</v>
      </c>
      <c r="E59" s="6" t="s">
        <v>110</v>
      </c>
      <c r="F59" s="5" t="s">
        <v>332</v>
      </c>
      <c r="G59" s="29">
        <v>18</v>
      </c>
      <c r="H59" s="6" t="s">
        <v>398</v>
      </c>
    </row>
    <row r="60" spans="1:8" x14ac:dyDescent="0.25">
      <c r="A60" s="5">
        <v>55</v>
      </c>
      <c r="B60" s="6" t="s">
        <v>422</v>
      </c>
      <c r="C60" s="6" t="s">
        <v>425</v>
      </c>
      <c r="D60" s="6" t="s">
        <v>424</v>
      </c>
      <c r="E60" s="6" t="s">
        <v>110</v>
      </c>
      <c r="F60" s="5" t="s">
        <v>332</v>
      </c>
      <c r="G60" s="29">
        <v>4</v>
      </c>
      <c r="H60" s="6" t="s">
        <v>398</v>
      </c>
    </row>
    <row r="61" spans="1:8" x14ac:dyDescent="0.25">
      <c r="A61" s="5">
        <v>56</v>
      </c>
      <c r="B61" s="6" t="s">
        <v>422</v>
      </c>
      <c r="C61" s="6" t="s">
        <v>426</v>
      </c>
      <c r="D61" s="6" t="s">
        <v>427</v>
      </c>
      <c r="E61" s="6" t="s">
        <v>110</v>
      </c>
      <c r="F61" s="5" t="s">
        <v>332</v>
      </c>
      <c r="G61" s="29">
        <v>8</v>
      </c>
      <c r="H61" s="6" t="s">
        <v>398</v>
      </c>
    </row>
    <row r="62" spans="1:8" x14ac:dyDescent="0.25">
      <c r="A62" s="5">
        <v>57</v>
      </c>
      <c r="B62" s="6" t="s">
        <v>422</v>
      </c>
      <c r="C62" s="6" t="s">
        <v>428</v>
      </c>
      <c r="D62" s="6" t="s">
        <v>427</v>
      </c>
      <c r="E62" s="6" t="s">
        <v>110</v>
      </c>
      <c r="F62" s="5" t="s">
        <v>332</v>
      </c>
      <c r="G62" s="29">
        <v>2</v>
      </c>
      <c r="H62" s="6" t="s">
        <v>398</v>
      </c>
    </row>
    <row r="63" spans="1:8" x14ac:dyDescent="0.25">
      <c r="A63" s="5">
        <v>58</v>
      </c>
      <c r="B63" s="6" t="s">
        <v>422</v>
      </c>
      <c r="C63" s="6" t="s">
        <v>429</v>
      </c>
      <c r="D63" s="6" t="s">
        <v>420</v>
      </c>
      <c r="E63" s="6" t="s">
        <v>110</v>
      </c>
      <c r="F63" s="5" t="s">
        <v>332</v>
      </c>
      <c r="G63" s="29">
        <v>3</v>
      </c>
      <c r="H63" s="6" t="s">
        <v>398</v>
      </c>
    </row>
    <row r="64" spans="1:8" x14ac:dyDescent="0.25">
      <c r="A64" s="5">
        <v>59</v>
      </c>
      <c r="B64" s="6" t="s">
        <v>44</v>
      </c>
      <c r="C64" s="6" t="s">
        <v>430</v>
      </c>
      <c r="D64" s="6" t="s">
        <v>431</v>
      </c>
      <c r="E64" s="6" t="s">
        <v>110</v>
      </c>
      <c r="F64" s="5" t="s">
        <v>332</v>
      </c>
      <c r="G64" s="29">
        <v>4</v>
      </c>
      <c r="H64" s="6" t="s">
        <v>186</v>
      </c>
    </row>
    <row r="65" spans="1:8" x14ac:dyDescent="0.25">
      <c r="A65" s="5">
        <v>60</v>
      </c>
      <c r="B65" s="6" t="s">
        <v>44</v>
      </c>
      <c r="C65" s="6" t="s">
        <v>432</v>
      </c>
      <c r="D65" s="6" t="s">
        <v>431</v>
      </c>
      <c r="E65" s="6" t="s">
        <v>110</v>
      </c>
      <c r="F65" s="5" t="s">
        <v>332</v>
      </c>
      <c r="G65" s="29">
        <v>4</v>
      </c>
      <c r="H65" s="6" t="s">
        <v>190</v>
      </c>
    </row>
    <row r="66" spans="1:8" x14ac:dyDescent="0.25">
      <c r="A66" s="5">
        <v>61</v>
      </c>
      <c r="B66" s="6" t="s">
        <v>44</v>
      </c>
      <c r="C66" s="6" t="s">
        <v>433</v>
      </c>
      <c r="D66" s="6" t="s">
        <v>431</v>
      </c>
      <c r="E66" s="6" t="s">
        <v>110</v>
      </c>
      <c r="F66" s="5" t="s">
        <v>332</v>
      </c>
      <c r="G66" s="29">
        <v>8</v>
      </c>
      <c r="H66" s="6" t="s">
        <v>193</v>
      </c>
    </row>
    <row r="67" spans="1:8" x14ac:dyDescent="0.25">
      <c r="A67" s="5">
        <v>62</v>
      </c>
      <c r="B67" s="6" t="s">
        <v>44</v>
      </c>
      <c r="C67" s="6" t="s">
        <v>434</v>
      </c>
      <c r="D67" s="6" t="s">
        <v>431</v>
      </c>
      <c r="E67" s="6" t="s">
        <v>110</v>
      </c>
      <c r="F67" s="5" t="s">
        <v>332</v>
      </c>
      <c r="G67" s="29">
        <v>6</v>
      </c>
      <c r="H67" s="6" t="s">
        <v>197</v>
      </c>
    </row>
    <row r="68" spans="1:8" x14ac:dyDescent="0.25">
      <c r="A68" s="5">
        <v>63</v>
      </c>
      <c r="B68" s="6" t="s">
        <v>44</v>
      </c>
      <c r="C68" s="6" t="s">
        <v>435</v>
      </c>
      <c r="D68" s="6" t="s">
        <v>436</v>
      </c>
      <c r="E68" s="6" t="s">
        <v>110</v>
      </c>
      <c r="F68" s="5" t="s">
        <v>332</v>
      </c>
      <c r="G68" s="29">
        <v>4</v>
      </c>
      <c r="H68" s="6" t="s">
        <v>218</v>
      </c>
    </row>
    <row r="69" spans="1:8" x14ac:dyDescent="0.25">
      <c r="A69" s="5">
        <v>64</v>
      </c>
      <c r="B69" s="6" t="s">
        <v>44</v>
      </c>
      <c r="C69" s="6" t="s">
        <v>437</v>
      </c>
      <c r="D69" s="6" t="s">
        <v>438</v>
      </c>
      <c r="E69" s="6" t="s">
        <v>110</v>
      </c>
      <c r="F69" s="5" t="s">
        <v>332</v>
      </c>
      <c r="G69" s="29">
        <v>4</v>
      </c>
      <c r="H69" s="6" t="s">
        <v>218</v>
      </c>
    </row>
    <row r="70" spans="1:8" x14ac:dyDescent="0.25">
      <c r="A70" s="5">
        <v>65</v>
      </c>
      <c r="B70" s="6" t="s">
        <v>44</v>
      </c>
      <c r="C70" s="6" t="s">
        <v>439</v>
      </c>
      <c r="D70" s="6" t="s">
        <v>440</v>
      </c>
      <c r="E70" s="6" t="s">
        <v>110</v>
      </c>
      <c r="F70" s="5" t="s">
        <v>332</v>
      </c>
      <c r="G70" s="29">
        <v>1</v>
      </c>
      <c r="H70" s="6" t="s">
        <v>218</v>
      </c>
    </row>
    <row r="71" spans="1:8" x14ac:dyDescent="0.25">
      <c r="A71" s="5">
        <v>66</v>
      </c>
      <c r="B71" s="6" t="s">
        <v>441</v>
      </c>
      <c r="C71" s="6" t="s">
        <v>442</v>
      </c>
      <c r="D71" s="6" t="s">
        <v>443</v>
      </c>
      <c r="E71" s="6" t="s">
        <v>110</v>
      </c>
      <c r="F71" s="5" t="s">
        <v>332</v>
      </c>
      <c r="G71" s="29">
        <v>4</v>
      </c>
      <c r="H71" s="6" t="s">
        <v>444</v>
      </c>
    </row>
    <row r="72" spans="1:8" x14ac:dyDescent="0.25">
      <c r="A72" s="5">
        <v>67</v>
      </c>
      <c r="B72" s="6" t="s">
        <v>441</v>
      </c>
      <c r="C72" s="6" t="s">
        <v>445</v>
      </c>
      <c r="D72" s="6" t="s">
        <v>446</v>
      </c>
      <c r="E72" s="6" t="s">
        <v>110</v>
      </c>
      <c r="F72" s="5" t="s">
        <v>332</v>
      </c>
      <c r="G72" s="29">
        <v>4</v>
      </c>
      <c r="H72" s="6" t="s">
        <v>444</v>
      </c>
    </row>
    <row r="73" spans="1:8" x14ac:dyDescent="0.25">
      <c r="A73" s="5">
        <v>68</v>
      </c>
      <c r="B73" s="6" t="s">
        <v>441</v>
      </c>
      <c r="C73" s="6" t="s">
        <v>447</v>
      </c>
      <c r="D73" s="6" t="s">
        <v>110</v>
      </c>
      <c r="E73" s="6" t="s">
        <v>110</v>
      </c>
      <c r="F73" s="5" t="s">
        <v>332</v>
      </c>
      <c r="G73" s="29">
        <v>4</v>
      </c>
      <c r="H73" s="6" t="s">
        <v>444</v>
      </c>
    </row>
    <row r="74" spans="1:8" x14ac:dyDescent="0.25">
      <c r="A74" s="5">
        <v>69</v>
      </c>
      <c r="B74" s="6" t="s">
        <v>441</v>
      </c>
      <c r="C74" s="6" t="s">
        <v>448</v>
      </c>
      <c r="D74" s="6" t="s">
        <v>446</v>
      </c>
      <c r="E74" s="6" t="s">
        <v>110</v>
      </c>
      <c r="F74" s="5" t="s">
        <v>341</v>
      </c>
      <c r="G74" s="29">
        <v>8</v>
      </c>
      <c r="H74" s="6" t="s">
        <v>444</v>
      </c>
    </row>
    <row r="75" spans="1:8" x14ac:dyDescent="0.25">
      <c r="A75" s="5">
        <v>70</v>
      </c>
      <c r="B75" s="6" t="s">
        <v>441</v>
      </c>
      <c r="C75" s="6" t="s">
        <v>449</v>
      </c>
      <c r="D75" s="6" t="s">
        <v>446</v>
      </c>
      <c r="E75" s="6" t="s">
        <v>110</v>
      </c>
      <c r="F75" s="5" t="s">
        <v>341</v>
      </c>
      <c r="G75" s="29">
        <v>3</v>
      </c>
      <c r="H75" s="6" t="s">
        <v>444</v>
      </c>
    </row>
    <row r="76" spans="1:8" x14ac:dyDescent="0.25">
      <c r="A76" s="5">
        <v>71</v>
      </c>
      <c r="B76" s="6" t="s">
        <v>441</v>
      </c>
      <c r="C76" s="6" t="s">
        <v>450</v>
      </c>
      <c r="D76" s="6" t="s">
        <v>406</v>
      </c>
      <c r="E76" s="6" t="s">
        <v>110</v>
      </c>
      <c r="F76" s="5" t="s">
        <v>341</v>
      </c>
      <c r="G76" s="29">
        <v>3</v>
      </c>
      <c r="H76" s="6" t="s">
        <v>444</v>
      </c>
    </row>
    <row r="77" spans="1:8" x14ac:dyDescent="0.25">
      <c r="A77" s="5">
        <v>72</v>
      </c>
      <c r="B77" s="6" t="s">
        <v>441</v>
      </c>
      <c r="C77" s="6" t="s">
        <v>451</v>
      </c>
      <c r="D77" s="6" t="s">
        <v>452</v>
      </c>
      <c r="E77" s="6" t="s">
        <v>110</v>
      </c>
      <c r="F77" s="5" t="s">
        <v>332</v>
      </c>
      <c r="G77" s="29">
        <v>1</v>
      </c>
      <c r="H77" s="6" t="s">
        <v>398</v>
      </c>
    </row>
    <row r="78" spans="1:8" x14ac:dyDescent="0.25">
      <c r="A78" s="5">
        <v>73</v>
      </c>
      <c r="B78" s="6" t="s">
        <v>453</v>
      </c>
      <c r="C78" s="6" t="s">
        <v>454</v>
      </c>
      <c r="D78" s="6" t="s">
        <v>110</v>
      </c>
      <c r="E78" s="6" t="s">
        <v>110</v>
      </c>
      <c r="F78" s="5" t="s">
        <v>332</v>
      </c>
      <c r="G78" s="29">
        <v>40</v>
      </c>
      <c r="H78" s="6" t="s">
        <v>398</v>
      </c>
    </row>
    <row r="79" spans="1:8" x14ac:dyDescent="0.25">
      <c r="A79" s="5">
        <v>74</v>
      </c>
      <c r="B79" s="6" t="s">
        <v>453</v>
      </c>
      <c r="C79" s="6" t="s">
        <v>455</v>
      </c>
      <c r="D79" s="6" t="s">
        <v>110</v>
      </c>
      <c r="E79" s="6" t="s">
        <v>110</v>
      </c>
      <c r="F79" s="5" t="s">
        <v>456</v>
      </c>
      <c r="G79" s="29">
        <v>5</v>
      </c>
      <c r="H79" s="6" t="s">
        <v>398</v>
      </c>
    </row>
    <row r="80" spans="1:8" x14ac:dyDescent="0.25">
      <c r="A80" s="5">
        <v>75</v>
      </c>
      <c r="B80" s="6" t="s">
        <v>453</v>
      </c>
      <c r="C80" s="6" t="s">
        <v>457</v>
      </c>
      <c r="D80" s="6" t="s">
        <v>110</v>
      </c>
      <c r="E80" s="6" t="s">
        <v>110</v>
      </c>
      <c r="F80" s="5" t="s">
        <v>458</v>
      </c>
      <c r="G80" s="29">
        <v>1</v>
      </c>
      <c r="H80" s="6" t="s">
        <v>398</v>
      </c>
    </row>
  </sheetData>
  <autoFilter ref="A5:H80"/>
  <mergeCells count="3">
    <mergeCell ref="A1:H1"/>
    <mergeCell ref="A2:H2"/>
    <mergeCell ref="A3:H3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QC QM</vt:lpstr>
      <vt:lpstr>QC QD-1</vt:lpstr>
      <vt:lpstr>Circuitos</vt:lpstr>
      <vt:lpstr>Eletrodutos</vt:lpstr>
      <vt:lpstr>Eletrocalhas</vt:lpstr>
      <vt:lpstr>Luminotécnico</vt:lpstr>
      <vt:lpstr>Iluminação externa</vt:lpstr>
      <vt:lpstr>Demanda Energisa</vt:lpstr>
      <vt:lpstr>Cargas Energisa</vt:lpstr>
      <vt:lpstr>Carga térmica</vt:lpstr>
      <vt:lpstr>Perfil horário</vt:lpstr>
      <vt:lpstr>Lista de materiais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2026-10-26T17:09:25Z</dcterms:created>
  <dcterms:modified xsi:type="dcterms:W3CDTF">2026-10-26T17:09:25Z</dcterms:modified>
</cp:coreProperties>
</file>